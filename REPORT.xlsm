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hidePivotFieldList="1" defaultThemeVersion="166925"/>
  <mc:AlternateContent xmlns:mc="http://schemas.openxmlformats.org/markup-compatibility/2006">
    <mc:Choice Requires="x15">
      <x15ac:absPath xmlns:x15ac="http://schemas.microsoft.com/office/spreadsheetml/2010/11/ac" url="https://d.docs.live.net/da1f4b3be97e938f/Desktop/"/>
    </mc:Choice>
  </mc:AlternateContent>
  <xr:revisionPtr revIDLastSave="2" documentId="13_ncr:1_{53F9D91F-C7B5-46B1-A422-A9E1E5597B1D}" xr6:coauthVersionLast="47" xr6:coauthVersionMax="47" xr10:uidLastSave="{1FE71DB2-5CC8-476F-B86A-E167A45BECF9}"/>
  <bookViews>
    <workbookView xWindow="-108" yWindow="-108" windowWidth="23256" windowHeight="12456" activeTab="2" xr2:uid="{00000000-000D-0000-FFFF-FFFF00000000}"/>
  </bookViews>
  <sheets>
    <sheet name="Raw_Data" sheetId="1" r:id="rId1"/>
    <sheet name="Pivot" sheetId="3" r:id="rId2"/>
    <sheet name="Analysis" sheetId="4" r:id="rId3"/>
  </sheets>
  <definedNames>
    <definedName name="Slicer_Item_Type">#N/A</definedName>
    <definedName name="Slicer_Quarters">#N/A</definedName>
    <definedName name="Slicer_Region">#N/A</definedName>
    <definedName name="Slicer_Sales_Channel">#N/A</definedName>
    <definedName name="Slicer_State">#N/A</definedName>
    <definedName name="Slicer_Years">#N/A</definedName>
  </definedNames>
  <calcPr calcId="191029"/>
  <pivotCaches>
    <pivotCache cacheId="2"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V6" i="1" l="1"/>
  <c r="U6" i="1"/>
  <c r="T6" i="1"/>
  <c r="S6" i="1"/>
  <c r="R6" i="1"/>
  <c r="Q6" i="1"/>
  <c r="P6" i="1"/>
  <c r="O6" i="1"/>
  <c r="N6" i="1"/>
  <c r="F3" i="1"/>
  <c r="F2"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alcChain>
</file>

<file path=xl/sharedStrings.xml><?xml version="1.0" encoding="utf-8"?>
<sst xmlns="http://schemas.openxmlformats.org/spreadsheetml/2006/main" count="4041" uniqueCount="67">
  <si>
    <t>S. No</t>
  </si>
  <si>
    <t>Order ID</t>
  </si>
  <si>
    <t>Item Type</t>
  </si>
  <si>
    <t>Sales Channel</t>
  </si>
  <si>
    <t>Month &amp; Year</t>
  </si>
  <si>
    <t>State</t>
  </si>
  <si>
    <t>Region</t>
  </si>
  <si>
    <t>Units Sold</t>
  </si>
  <si>
    <t>Total Profit</t>
  </si>
  <si>
    <t>Cosmetics</t>
  </si>
  <si>
    <t>Offline</t>
  </si>
  <si>
    <t>West Bengal</t>
  </si>
  <si>
    <t>East India</t>
  </si>
  <si>
    <t>Vegetables</t>
  </si>
  <si>
    <t>Online</t>
  </si>
  <si>
    <t>Punjab</t>
  </si>
  <si>
    <t>North India</t>
  </si>
  <si>
    <t>Baby Food</t>
  </si>
  <si>
    <t>Tamil Nadu</t>
  </si>
  <si>
    <t>West India</t>
  </si>
  <si>
    <t>Cereal</t>
  </si>
  <si>
    <t>Kerala</t>
  </si>
  <si>
    <t>Enter S. No</t>
  </si>
  <si>
    <t>Channel</t>
  </si>
  <si>
    <t>Fruits</t>
  </si>
  <si>
    <t>Mizoram</t>
  </si>
  <si>
    <t>North East India</t>
  </si>
  <si>
    <t>Madhya Pradesh</t>
  </si>
  <si>
    <t>Central India</t>
  </si>
  <si>
    <t xml:space="preserve"> </t>
  </si>
  <si>
    <t>Clothes</t>
  </si>
  <si>
    <t>Telangana</t>
  </si>
  <si>
    <t>Manipur</t>
  </si>
  <si>
    <t>Odisha</t>
  </si>
  <si>
    <t>Snacks</t>
  </si>
  <si>
    <t>Maharashtra</t>
  </si>
  <si>
    <t>Household</t>
  </si>
  <si>
    <t>Sikkim</t>
  </si>
  <si>
    <t>Jammu and Kashmir</t>
  </si>
  <si>
    <t>Chhattisgarh</t>
  </si>
  <si>
    <t>Office Supplies</t>
  </si>
  <si>
    <t>Beverages</t>
  </si>
  <si>
    <t>Assam</t>
  </si>
  <si>
    <t>Personal Care</t>
  </si>
  <si>
    <t>Arunachal Pradesh</t>
  </si>
  <si>
    <t>Jharkhand</t>
  </si>
  <si>
    <t>Bihar</t>
  </si>
  <si>
    <t>Meat</t>
  </si>
  <si>
    <t>Haryana</t>
  </si>
  <si>
    <t>Goa</t>
  </si>
  <si>
    <t>Uttarakhand</t>
  </si>
  <si>
    <t>Nagaland</t>
  </si>
  <si>
    <t>Gujarat</t>
  </si>
  <si>
    <t>Rajasthan</t>
  </si>
  <si>
    <t>Uttar Pradesh</t>
  </si>
  <si>
    <t>Meghalaya</t>
  </si>
  <si>
    <t>Andhra Pradesh</t>
  </si>
  <si>
    <t>Himachal Pradesh</t>
  </si>
  <si>
    <t>Tripura</t>
  </si>
  <si>
    <t>Karnataka</t>
  </si>
  <si>
    <t>Quarter</t>
  </si>
  <si>
    <t>Row Labels</t>
  </si>
  <si>
    <t>Sum of Total Profit</t>
  </si>
  <si>
    <t>Grand Total</t>
  </si>
  <si>
    <t>Column Labels</t>
  </si>
  <si>
    <t>Q</t>
  </si>
  <si>
    <t>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</si>
</sst>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4009]dd\ mmmm\ yyyy;@"/>
    <numFmt numFmtId="165" formatCode="[$-F800]dddd\,\ mmmm\ dd\,\ yyyy"/>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i/>
      <u/>
      <sz val="11"/>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39997558519241921"/>
        <bgColor indexed="64"/>
      </patternFill>
    </fill>
    <fill>
      <patternFill patternType="solid">
        <fgColor theme="7" tint="0.39997558519241921"/>
        <bgColor indexed="64"/>
      </patternFill>
    </fill>
    <fill>
      <patternFill patternType="solid">
        <fgColor theme="6"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4" fontId="0" fillId="0" borderId="0" xfId="0" applyNumberFormat="1"/>
    <xf numFmtId="0" fontId="18" fillId="33" borderId="0" xfId="0" applyFont="1" applyFill="1" applyAlignment="1">
      <alignment horizontal="center"/>
    </xf>
    <xf numFmtId="0" fontId="18" fillId="0" borderId="0" xfId="0" applyFont="1" applyAlignment="1">
      <alignment horizontal="center"/>
    </xf>
    <xf numFmtId="0" fontId="0" fillId="34" borderId="0" xfId="0" applyFill="1"/>
    <xf numFmtId="0" fontId="0" fillId="35" borderId="0" xfId="0" applyFill="1"/>
    <xf numFmtId="165"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[REPORT.xlsm]Pivot!PivotTable3</c:name>
    <c:fmtId val="25"/>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Pivot!$C$4:$C$6</c:f>
              <c:strCache>
                <c:ptCount val="1"/>
                <c:pt idx="0">
                  <c:v>2010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invertIfNegative val="0"/>
          <c:cat>
            <c:multiLvlStrRef>
              <c:f>Pivot!$B$7:$B$21</c:f>
              <c:multiLvlStrCache>
                <c:ptCount val="9"/>
                <c:lvl>
                  <c:pt idx="0">
                    <c:v>Bihar</c:v>
                  </c:pt>
                  <c:pt idx="1">
                    <c:v>West Bengal</c:v>
                  </c:pt>
                  <c:pt idx="2">
                    <c:v>Manipur</c:v>
                  </c:pt>
                  <c:pt idx="3">
                    <c:v>Nagaland</c:v>
                  </c:pt>
                  <c:pt idx="4">
                    <c:v>Tripura</c:v>
                  </c:pt>
                  <c:pt idx="5">
                    <c:v>Himachal Pradesh</c:v>
                  </c:pt>
                  <c:pt idx="6">
                    <c:v>Andhra Pradesh</c:v>
                  </c:pt>
                  <c:pt idx="7">
                    <c:v>Kerala</c:v>
                  </c:pt>
                  <c:pt idx="8">
                    <c:v>Maharashtra</c:v>
                  </c:pt>
                </c:lvl>
                <c:lvl>
                  <c:pt idx="0">
                    <c:v>Central India</c:v>
                  </c:pt>
                  <c:pt idx="1">
                    <c:v>East India</c:v>
                  </c:pt>
                  <c:pt idx="2">
                    <c:v>North East India</c:v>
                  </c:pt>
                  <c:pt idx="5">
                    <c:v>North India</c:v>
                  </c:pt>
                  <c:pt idx="6">
                    <c:v>West India</c:v>
                  </c:pt>
                </c:lvl>
              </c:multiLvlStrCache>
            </c:multiLvlStrRef>
          </c:cat>
          <c:val>
            <c:numRef>
              <c:f>Pivot!$C$7:$C$21</c:f>
              <c:numCache>
                <c:formatCode>General</c:formatCode>
                <c:ptCount val="9"/>
                <c:pt idx="0">
                  <c:v>301560.36</c:v>
                </c:pt>
                <c:pt idx="1">
                  <c:v>552890.18999999994</c:v>
                </c:pt>
                <c:pt idx="2">
                  <c:v>376241.73</c:v>
                </c:pt>
                <c:pt idx="3">
                  <c:v>121368.3</c:v>
                </c:pt>
                <c:pt idx="4">
                  <c:v>278084.01</c:v>
                </c:pt>
                <c:pt idx="5">
                  <c:v>528439.35</c:v>
                </c:pt>
                <c:pt idx="6">
                  <c:v>735474.18</c:v>
                </c:pt>
                <c:pt idx="7">
                  <c:v>294295.98</c:v>
                </c:pt>
                <c:pt idx="8">
                  <c:v>773656.47</c:v>
                </c:pt>
              </c:numCache>
            </c:numRef>
          </c:val>
          <c:extLst>
            <c:ext xmlns:c16="http://schemas.microsoft.com/office/drawing/2014/chart" uri="{C3380CC4-5D6E-409C-BE32-E72D297353CC}">
              <c16:uniqueId val="{00000000-106F-4C7A-9602-9EDD1698D6A5}"/>
            </c:ext>
          </c:extLst>
        </c:ser>
        <c:dLbls>
          <c:showLegendKey val="0"/>
          <c:showVal val="0"/>
          <c:showCatName val="0"/>
          <c:showSerName val="0"/>
          <c:showPercent val="0"/>
          <c:showBubbleSize val="0"/>
        </c:dLbls>
        <c:gapWidth val="150"/>
        <c:shape val="box"/>
        <c:axId val="602198448"/>
        <c:axId val="602201360"/>
        <c:axId val="0"/>
      </c:bar3DChart>
      <c:catAx>
        <c:axId val="60219844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02201360"/>
        <c:crosses val="autoZero"/>
        <c:auto val="1"/>
        <c:lblAlgn val="ctr"/>
        <c:lblOffset val="100"/>
        <c:noMultiLvlLbl val="0"/>
      </c:catAx>
      <c:valAx>
        <c:axId val="6022013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0219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144780</xdr:colOff>
      <xdr:row>0</xdr:row>
      <xdr:rowOff>129540</xdr:rowOff>
    </xdr:from>
    <xdr:to>
      <xdr:col>15</xdr:col>
      <xdr:colOff>419100</xdr:colOff>
      <xdr:row>26</xdr:row>
      <xdr:rowOff>38100</xdr:rowOff>
    </xdr:to>
    <xdr:graphicFrame macro="">
      <xdr:nvGraphicFramePr>
        <xdr:cNvPr id="2" name="Chart 1">
          <a:extLst>
            <a:ext uri="{FF2B5EF4-FFF2-40B4-BE49-F238E27FC236}">
              <a16:creationId xmlns:a16="http://schemas.microsoft.com/office/drawing/2014/main" id="{6CF86B8F-31E6-45F9-A3CE-0CA80E72A6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571500</xdr:colOff>
      <xdr:row>0</xdr:row>
      <xdr:rowOff>175260</xdr:rowOff>
    </xdr:from>
    <xdr:to>
      <xdr:col>18</xdr:col>
      <xdr:colOff>571500</xdr:colOff>
      <xdr:row>9</xdr:row>
      <xdr:rowOff>97155</xdr:rowOff>
    </xdr:to>
    <mc:AlternateContent xmlns:mc="http://schemas.openxmlformats.org/markup-compatibility/2006" xmlns:a14="http://schemas.microsoft.com/office/drawing/2010/main">
      <mc:Choice Requires="a14">
        <xdr:graphicFrame macro="">
          <xdr:nvGraphicFramePr>
            <xdr:cNvPr id="3" name="Item Type">
              <a:extLst>
                <a:ext uri="{FF2B5EF4-FFF2-40B4-BE49-F238E27FC236}">
                  <a16:creationId xmlns:a16="http://schemas.microsoft.com/office/drawing/2014/main" id="{0A479F59-9674-475C-B519-F0568A733077}"/>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9715500" y="175260"/>
              <a:ext cx="1828800" cy="15678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9</xdr:row>
      <xdr:rowOff>144781</xdr:rowOff>
    </xdr:from>
    <xdr:to>
      <xdr:col>22</xdr:col>
      <xdr:colOff>0</xdr:colOff>
      <xdr:row>14</xdr:row>
      <xdr:rowOff>152401</xdr:rowOff>
    </xdr:to>
    <mc:AlternateContent xmlns:mc="http://schemas.openxmlformats.org/markup-compatibility/2006" xmlns:a14="http://schemas.microsoft.com/office/drawing/2010/main">
      <mc:Choice Requires="a14">
        <xdr:graphicFrame macro="">
          <xdr:nvGraphicFramePr>
            <xdr:cNvPr id="4" name="Sales Channel">
              <a:extLst>
                <a:ext uri="{FF2B5EF4-FFF2-40B4-BE49-F238E27FC236}">
                  <a16:creationId xmlns:a16="http://schemas.microsoft.com/office/drawing/2014/main" id="{72C3E4FC-F23F-4E86-AFC5-5E1C498C93A3}"/>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11582400" y="1790701"/>
              <a:ext cx="1828800" cy="922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579120</xdr:colOff>
      <xdr:row>9</xdr:row>
      <xdr:rowOff>152400</xdr:rowOff>
    </xdr:from>
    <xdr:to>
      <xdr:col>18</xdr:col>
      <xdr:colOff>579120</xdr:colOff>
      <xdr:row>17</xdr:row>
      <xdr:rowOff>167639</xdr:rowOff>
    </xdr:to>
    <mc:AlternateContent xmlns:mc="http://schemas.openxmlformats.org/markup-compatibility/2006" xmlns:a14="http://schemas.microsoft.com/office/drawing/2010/main">
      <mc:Choice Requires="a14">
        <xdr:graphicFrame macro="">
          <xdr:nvGraphicFramePr>
            <xdr:cNvPr id="5" name="Quarters">
              <a:extLst>
                <a:ext uri="{FF2B5EF4-FFF2-40B4-BE49-F238E27FC236}">
                  <a16:creationId xmlns:a16="http://schemas.microsoft.com/office/drawing/2014/main" id="{C8A3F027-BDC8-4608-B824-90DE576951F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9723120" y="1798320"/>
              <a:ext cx="1828800" cy="14782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601980</xdr:colOff>
      <xdr:row>1</xdr:row>
      <xdr:rowOff>1</xdr:rowOff>
    </xdr:from>
    <xdr:to>
      <xdr:col>21</xdr:col>
      <xdr:colOff>601980</xdr:colOff>
      <xdr:row>9</xdr:row>
      <xdr:rowOff>99061</xdr:rowOff>
    </xdr:to>
    <mc:AlternateContent xmlns:mc="http://schemas.openxmlformats.org/markup-compatibility/2006" xmlns:a14="http://schemas.microsoft.com/office/drawing/2010/main">
      <mc:Choice Requires="a14">
        <xdr:graphicFrame macro="">
          <xdr:nvGraphicFramePr>
            <xdr:cNvPr id="6" name="Years">
              <a:extLst>
                <a:ext uri="{FF2B5EF4-FFF2-40B4-BE49-F238E27FC236}">
                  <a16:creationId xmlns:a16="http://schemas.microsoft.com/office/drawing/2014/main" id="{B7F5AB4D-CF52-4AF4-ABF7-AF2403908F4D}"/>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1574780" y="182881"/>
              <a:ext cx="1828800" cy="1562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586740</xdr:colOff>
      <xdr:row>18</xdr:row>
      <xdr:rowOff>0</xdr:rowOff>
    </xdr:from>
    <xdr:to>
      <xdr:col>18</xdr:col>
      <xdr:colOff>586740</xdr:colOff>
      <xdr:row>27</xdr:row>
      <xdr:rowOff>137160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3E680361-8DD3-460A-B560-82C121B28E9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730740" y="3291840"/>
              <a:ext cx="1828800" cy="1783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15</xdr:row>
      <xdr:rowOff>1</xdr:rowOff>
    </xdr:from>
    <xdr:to>
      <xdr:col>22</xdr:col>
      <xdr:colOff>0</xdr:colOff>
      <xdr:row>27</xdr:row>
      <xdr:rowOff>137160</xdr:rowOff>
    </xdr:to>
    <mc:AlternateContent xmlns:mc="http://schemas.openxmlformats.org/markup-compatibility/2006" xmlns:a14="http://schemas.microsoft.com/office/drawing/2010/main">
      <mc:Choice Requires="a14">
        <xdr:graphicFrame macro="">
          <xdr:nvGraphicFramePr>
            <xdr:cNvPr id="8" name="State">
              <a:extLst>
                <a:ext uri="{FF2B5EF4-FFF2-40B4-BE49-F238E27FC236}">
                  <a16:creationId xmlns:a16="http://schemas.microsoft.com/office/drawing/2014/main" id="{6D8D39E8-50BE-4CCB-B7EC-B1DAE4B9FE72}"/>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1582400" y="2743201"/>
              <a:ext cx="1828800" cy="2331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MIS%20REPORT%20GENERATION.csv"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225.745844212965" createdVersion="6" refreshedVersion="6" minRefreshableVersion="3" recordCount="1000" xr:uid="{00000000-000A-0000-FFFF-FFFF0B000000}">
  <cacheSource type="worksheet">
    <worksheetSource ref="A1:J1001" sheet="MIS REPORT GENERATION" r:id="rId2"/>
  </cacheSource>
  <cacheFields count="12">
    <cacheField name="S. No" numFmtId="0">
      <sharedItems containsSemiMixedTypes="0" containsString="0" containsNumber="1" containsInteger="1" minValue="1" maxValue="1000"/>
    </cacheField>
    <cacheField name="Order ID" numFmtId="0">
      <sharedItems containsSemiMixedTypes="0" containsString="0" containsNumber="1" containsInteger="1" minValue="102928006" maxValue="995529830"/>
    </cacheField>
    <cacheField name="Item Type" numFmtId="0">
      <sharedItems count="12">
        <s v="Cosmetics"/>
        <s v="Vegetables"/>
        <s v="Baby Food"/>
        <s v="Cereal"/>
        <s v="Fruits"/>
        <s v="Clothes"/>
        <s v="Snacks"/>
        <s v="Household"/>
        <s v="Office Supplies"/>
        <s v="Beverages"/>
        <s v="Personal Care"/>
        <s v="Meat"/>
      </sharedItems>
    </cacheField>
    <cacheField name="Sales Channel" numFmtId="0">
      <sharedItems count="2">
        <s v="Offline"/>
        <s v="Online"/>
      </sharedItems>
    </cacheField>
    <cacheField name="Month &amp; Year" numFmtId="164">
      <sharedItems containsSemiMixedTypes="0" containsNonDate="0" containsDate="1" containsString="0" minDate="2010-01-01T00:00:00" maxDate="2017-07-02T00:00:00" count="91">
        <d v="2014-10-01T00:00:00"/>
        <d v="2011-11-01T00:00:00"/>
        <d v="2016-10-01T00:00:00"/>
        <d v="2010-04-01T00:00:00"/>
        <d v="2011-08-01T00:00:00"/>
        <d v="2014-11-01T00:00:00"/>
        <d v="2015-03-01T00:00:00"/>
        <d v="2012-05-01T00:00:00"/>
        <d v="2015-01-01T00:00:00"/>
        <d v="2013-12-01T00:00:00"/>
        <d v="2015-12-01T00:00:00"/>
        <d v="2010-02-01T00:00:00"/>
        <d v="2016-11-01T00:00:00"/>
        <d v="2011-01-01T00:00:00"/>
        <d v="2010-06-01T00:00:00"/>
        <d v="2016-04-01T00:00:00"/>
        <d v="2012-07-01T00:00:00"/>
        <d v="2014-09-01T00:00:00"/>
        <d v="2012-08-01T00:00:00"/>
        <d v="2012-09-01T00:00:00"/>
        <d v="2010-08-01T00:00:00"/>
        <d v="2011-02-01T00:00:00"/>
        <d v="2012-10-01T00:00:00"/>
        <d v="2017-01-01T00:00:00"/>
        <d v="2012-01-01T00:00:00"/>
        <d v="2016-01-01T00:00:00"/>
        <d v="2017-06-01T00:00:00"/>
        <d v="2015-06-01T00:00:00"/>
        <d v="2014-01-01T00:00:00"/>
        <d v="2014-04-01T00:00:00"/>
        <d v="2010-09-01T00:00:00"/>
        <d v="2010-05-01T00:00:00"/>
        <d v="2013-10-01T00:00:00"/>
        <d v="2011-03-01T00:00:00"/>
        <d v="2016-08-01T00:00:00"/>
        <d v="2014-05-01T00:00:00"/>
        <d v="2013-08-01T00:00:00"/>
        <d v="2011-10-01T00:00:00"/>
        <d v="2015-04-01T00:00:00"/>
        <d v="2013-03-01T00:00:00"/>
        <d v="2015-08-01T00:00:00"/>
        <d v="2016-12-01T00:00:00"/>
        <d v="2010-11-01T00:00:00"/>
        <d v="2016-06-01T00:00:00"/>
        <d v="2016-05-01T00:00:00"/>
        <d v="2012-03-01T00:00:00"/>
        <d v="2014-06-01T00:00:00"/>
        <d v="2013-04-01T00:00:00"/>
        <d v="2013-06-01T00:00:00"/>
        <d v="2013-01-01T00:00:00"/>
        <d v="2011-05-01T00:00:00"/>
        <d v="2010-07-01T00:00:00"/>
        <d v="2017-02-01T00:00:00"/>
        <d v="2013-09-01T00:00:00"/>
        <d v="2015-02-01T00:00:00"/>
        <d v="2010-01-01T00:00:00"/>
        <d v="2010-03-01T00:00:00"/>
        <d v="2017-03-01T00:00:00"/>
        <d v="2014-03-01T00:00:00"/>
        <d v="2011-09-01T00:00:00"/>
        <d v="2016-07-01T00:00:00"/>
        <d v="2014-02-01T00:00:00"/>
        <d v="2012-12-01T00:00:00"/>
        <d v="2015-09-01T00:00:00"/>
        <d v="2013-11-01T00:00:00"/>
        <d v="2014-08-01T00:00:00"/>
        <d v="2010-10-01T00:00:00"/>
        <d v="2012-06-01T00:00:00"/>
        <d v="2013-05-01T00:00:00"/>
        <d v="2011-06-01T00:00:00"/>
        <d v="2011-04-01T00:00:00"/>
        <d v="2012-11-01T00:00:00"/>
        <d v="2015-11-01T00:00:00"/>
        <d v="2013-02-01T00:00:00"/>
        <d v="2017-07-01T00:00:00"/>
        <d v="2017-04-01T00:00:00"/>
        <d v="2014-07-01T00:00:00"/>
        <d v="2011-07-01T00:00:00"/>
        <d v="2013-07-01T00:00:00"/>
        <d v="2014-12-01T00:00:00"/>
        <d v="2010-12-01T00:00:00"/>
        <d v="2011-12-01T00:00:00"/>
        <d v="2016-03-01T00:00:00"/>
        <d v="2012-04-01T00:00:00"/>
        <d v="2015-07-01T00:00:00"/>
        <d v="2016-02-01T00:00:00"/>
        <d v="2015-05-01T00:00:00"/>
        <d v="2012-02-01T00:00:00"/>
        <d v="2016-09-01T00:00:00"/>
        <d v="2015-10-01T00:00:00"/>
        <d v="2017-05-01T00:00:00"/>
      </sharedItems>
      <fieldGroup par="11" base="4">
        <rangePr groupBy="months" startDate="2010-01-01T00:00:00" endDate="2017-07-02T00:00:00"/>
        <groupItems count="14">
          <s v="&lt;01-01-2010"/>
          <s v="Jan"/>
          <s v="Feb"/>
          <s v="Mar"/>
          <s v="Apr"/>
          <s v="May"/>
          <s v="Jun"/>
          <s v="Jul"/>
          <s v="Aug"/>
          <s v="Sep"/>
          <s v="Oct"/>
          <s v="Nov"/>
          <s v="Dec"/>
          <s v="&gt;02-07-2017"/>
        </groupItems>
      </fieldGroup>
    </cacheField>
    <cacheField name="Q" numFmtId="0">
      <sharedItems containsSemiMixedTypes="0" containsString="0" containsNumber="1" containsInteger="1" minValue="1" maxValue="4" count="4">
        <n v="4"/>
        <n v="2"/>
        <n v="3"/>
        <n v="1"/>
      </sharedItems>
    </cacheField>
    <cacheField name="State" numFmtId="0">
      <sharedItems count="29">
        <s v="West Bengal"/>
        <s v="Punjab"/>
        <s v="Tamil Nadu"/>
        <s v="Kerala"/>
        <s v="Mizoram"/>
        <s v="Madhya Pradesh"/>
        <s v="Telangana"/>
        <s v="Manipur"/>
        <s v="Odisha"/>
        <s v="Maharashtra"/>
        <s v="Sikkim"/>
        <s v="Jammu and Kashmir"/>
        <s v="Chhattisgarh"/>
        <s v="Assam"/>
        <s v="Arunachal Pradesh"/>
        <s v="Jharkhand"/>
        <s v="Bihar"/>
        <s v="Haryana"/>
        <s v="Goa"/>
        <s v="Uttarakhand"/>
        <s v="Nagaland"/>
        <s v="Gujarat"/>
        <s v="Rajasthan"/>
        <s v="Uttar Pradesh"/>
        <s v="Meghalaya"/>
        <s v="Andhra Pradesh"/>
        <s v="Himachal Pradesh"/>
        <s v="Tripura"/>
        <s v="Karnataka"/>
      </sharedItems>
    </cacheField>
    <cacheField name="Region" numFmtId="0">
      <sharedItems count="5">
        <s v="East India"/>
        <s v="North India"/>
        <s v="West India"/>
        <s v="North East India"/>
        <s v="Central India"/>
      </sharedItems>
    </cacheField>
    <cacheField name="Units Sold" numFmtId="0">
      <sharedItems containsSemiMixedTypes="0" containsString="0" containsNumber="1" containsInteger="1" minValue="13" maxValue="9998"/>
    </cacheField>
    <cacheField name="Total Profit" numFmtId="0">
      <sharedItems containsSemiMixedTypes="0" containsString="0" containsNumber="1" minValue="532.61" maxValue="1726181.36"/>
    </cacheField>
    <cacheField name="Quarters" numFmtId="0" databaseField="0">
      <fieldGroup base="4">
        <rangePr groupBy="quarters" startDate="2010-01-01T00:00:00" endDate="2017-07-02T00:00:00"/>
        <groupItems count="6">
          <s v="&lt;01-01-2010"/>
          <s v="Qtr1"/>
          <s v="Qtr2"/>
          <s v="Qtr3"/>
          <s v="Qtr4"/>
          <s v="&gt;02-07-2017"/>
        </groupItems>
      </fieldGroup>
    </cacheField>
    <cacheField name="Years" numFmtId="0" databaseField="0">
      <fieldGroup base="4">
        <rangePr groupBy="years" startDate="2010-01-01T00:00:00" endDate="2017-07-02T00:00:00"/>
        <groupItems count="10">
          <s v="&lt;01-01-2010"/>
          <s v="2010"/>
          <s v="2011"/>
          <s v="2012"/>
          <s v="2013"/>
          <s v="2014"/>
          <s v="2015"/>
          <s v="2016"/>
          <s v="2017"/>
          <s v="&gt;02-07-2017"/>
        </groupItems>
      </fieldGroup>
    </cacheField>
  </cacheFields>
  <extLst>
    <ext xmlns:x14="http://schemas.microsoft.com/office/spreadsheetml/2009/9/main" uri="{725AE2AE-9491-48be-B2B4-4EB974FC3084}">
      <x14:pivotCacheDefinition pivotCacheId="822342792"/>
    </ext>
  </extLst>
</pivotCacheDefinition>
</file>

<file path=xl/pivotCache/pivotCacheRecords1.xml><?xml version="1.0" encoding="utf-8"?>
<pivotCacheRecords xmlns="http://schemas.openxmlformats.org/spreadsheetml/2006/main" xmlns:r="http://schemas.openxmlformats.org/officeDocument/2006/relationships" count="1000">
  <r>
    <n v="1"/>
    <n v="686800706"/>
    <x v="0"/>
    <x v="0"/>
    <x v="0"/>
    <x v="0"/>
    <x v="0"/>
    <x v="0"/>
    <n v="8446"/>
    <n v="1468506.02"/>
  </r>
  <r>
    <n v="2"/>
    <n v="185941302"/>
    <x v="1"/>
    <x v="1"/>
    <x v="1"/>
    <x v="0"/>
    <x v="1"/>
    <x v="1"/>
    <n v="3018"/>
    <n v="190526.34"/>
  </r>
  <r>
    <n v="3"/>
    <n v="246222341"/>
    <x v="2"/>
    <x v="0"/>
    <x v="2"/>
    <x v="0"/>
    <x v="2"/>
    <x v="2"/>
    <n v="1517"/>
    <n v="145419.62"/>
  </r>
  <r>
    <n v="4"/>
    <n v="161442649"/>
    <x v="3"/>
    <x v="0"/>
    <x v="3"/>
    <x v="1"/>
    <x v="3"/>
    <x v="2"/>
    <n v="3322"/>
    <n v="294295.98"/>
  </r>
  <r>
    <n v="5"/>
    <n v="645713555"/>
    <x v="4"/>
    <x v="0"/>
    <x v="4"/>
    <x v="2"/>
    <x v="1"/>
    <x v="1"/>
    <n v="9845"/>
    <n v="23726.45"/>
  </r>
  <r>
    <n v="6"/>
    <n v="683458888"/>
    <x v="3"/>
    <x v="1"/>
    <x v="5"/>
    <x v="0"/>
    <x v="4"/>
    <x v="3"/>
    <n v="9528"/>
    <n v="844085.52"/>
  </r>
  <r>
    <n v="7"/>
    <n v="679414975"/>
    <x v="3"/>
    <x v="1"/>
    <x v="6"/>
    <x v="3"/>
    <x v="5"/>
    <x v="4"/>
    <n v="2844"/>
    <n v="251949.96"/>
  </r>
  <r>
    <n v="8"/>
    <n v="208630645"/>
    <x v="5"/>
    <x v="0"/>
    <x v="7"/>
    <x v="1"/>
    <x v="3"/>
    <x v="2"/>
    <n v="7299"/>
    <n v="536038.56000000006"/>
  </r>
  <r>
    <n v="9"/>
    <n v="266467225"/>
    <x v="1"/>
    <x v="1"/>
    <x v="8"/>
    <x v="3"/>
    <x v="6"/>
    <x v="2"/>
    <n v="2428"/>
    <n v="153279.64000000001"/>
  </r>
  <r>
    <n v="10"/>
    <n v="118598544"/>
    <x v="1"/>
    <x v="0"/>
    <x v="9"/>
    <x v="0"/>
    <x v="7"/>
    <x v="3"/>
    <n v="4800"/>
    <n v="303024"/>
  </r>
  <r>
    <n v="11"/>
    <n v="451010930"/>
    <x v="5"/>
    <x v="1"/>
    <x v="10"/>
    <x v="0"/>
    <x v="8"/>
    <x v="0"/>
    <n v="3012"/>
    <n v="221201.28"/>
  </r>
  <r>
    <n v="12"/>
    <n v="220003211"/>
    <x v="6"/>
    <x v="0"/>
    <x v="11"/>
    <x v="3"/>
    <x v="9"/>
    <x v="2"/>
    <n v="2694"/>
    <n v="148547.16"/>
  </r>
  <r>
    <n v="13"/>
    <n v="702186715"/>
    <x v="7"/>
    <x v="1"/>
    <x v="12"/>
    <x v="0"/>
    <x v="10"/>
    <x v="3"/>
    <n v="1508"/>
    <n v="249920.84"/>
  </r>
  <r>
    <n v="14"/>
    <n v="544485270"/>
    <x v="0"/>
    <x v="1"/>
    <x v="10"/>
    <x v="0"/>
    <x v="11"/>
    <x v="1"/>
    <n v="4146"/>
    <n v="720865.02"/>
  </r>
  <r>
    <n v="15"/>
    <n v="714135205"/>
    <x v="4"/>
    <x v="0"/>
    <x v="13"/>
    <x v="3"/>
    <x v="12"/>
    <x v="4"/>
    <n v="7332"/>
    <n v="17670.12"/>
  </r>
  <r>
    <n v="16"/>
    <n v="448685348"/>
    <x v="5"/>
    <x v="0"/>
    <x v="14"/>
    <x v="1"/>
    <x v="4"/>
    <x v="3"/>
    <n v="4820"/>
    <n v="353980.8"/>
  </r>
  <r>
    <n v="17"/>
    <n v="405997025"/>
    <x v="8"/>
    <x v="1"/>
    <x v="15"/>
    <x v="1"/>
    <x v="9"/>
    <x v="2"/>
    <n v="2397"/>
    <n v="302621.25"/>
  </r>
  <r>
    <n v="18"/>
    <n v="414244067"/>
    <x v="9"/>
    <x v="1"/>
    <x v="16"/>
    <x v="2"/>
    <x v="10"/>
    <x v="3"/>
    <n v="2880"/>
    <n v="45100.800000000003"/>
  </r>
  <r>
    <n v="19"/>
    <n v="821912801"/>
    <x v="5"/>
    <x v="1"/>
    <x v="17"/>
    <x v="2"/>
    <x v="3"/>
    <x v="2"/>
    <n v="1117"/>
    <n v="82032.479999999996"/>
  </r>
  <r>
    <n v="20"/>
    <n v="247802054"/>
    <x v="7"/>
    <x v="0"/>
    <x v="18"/>
    <x v="2"/>
    <x v="13"/>
    <x v="3"/>
    <n v="8989"/>
    <n v="1489746.97"/>
  </r>
  <r>
    <n v="21"/>
    <n v="531023156"/>
    <x v="6"/>
    <x v="1"/>
    <x v="19"/>
    <x v="2"/>
    <x v="13"/>
    <x v="3"/>
    <n v="407"/>
    <n v="22441.98"/>
  </r>
  <r>
    <n v="22"/>
    <n v="880999934"/>
    <x v="5"/>
    <x v="1"/>
    <x v="20"/>
    <x v="2"/>
    <x v="9"/>
    <x v="2"/>
    <n v="6313"/>
    <n v="463626.72"/>
  </r>
  <r>
    <n v="23"/>
    <n v="127468717"/>
    <x v="10"/>
    <x v="1"/>
    <x v="21"/>
    <x v="3"/>
    <x v="12"/>
    <x v="4"/>
    <n v="9681"/>
    <n v="242605.86"/>
  </r>
  <r>
    <n v="24"/>
    <n v="770478332"/>
    <x v="5"/>
    <x v="1"/>
    <x v="10"/>
    <x v="0"/>
    <x v="14"/>
    <x v="3"/>
    <n v="515"/>
    <n v="37821.599999999999"/>
  </r>
  <r>
    <n v="25"/>
    <n v="430390107"/>
    <x v="3"/>
    <x v="1"/>
    <x v="22"/>
    <x v="0"/>
    <x v="4"/>
    <x v="3"/>
    <n v="852"/>
    <n v="75478.679999999993"/>
  </r>
  <r>
    <n v="26"/>
    <n v="397877871"/>
    <x v="9"/>
    <x v="1"/>
    <x v="23"/>
    <x v="3"/>
    <x v="15"/>
    <x v="0"/>
    <n v="9759"/>
    <n v="152825.94"/>
  </r>
  <r>
    <n v="27"/>
    <n v="683927953"/>
    <x v="9"/>
    <x v="0"/>
    <x v="0"/>
    <x v="0"/>
    <x v="16"/>
    <x v="4"/>
    <n v="8334"/>
    <n v="130510.44"/>
  </r>
  <r>
    <n v="28"/>
    <n v="469839179"/>
    <x v="4"/>
    <x v="0"/>
    <x v="24"/>
    <x v="3"/>
    <x v="5"/>
    <x v="4"/>
    <n v="4709"/>
    <n v="11348.69"/>
  </r>
  <r>
    <n v="29"/>
    <n v="357222878"/>
    <x v="11"/>
    <x v="0"/>
    <x v="25"/>
    <x v="3"/>
    <x v="8"/>
    <x v="0"/>
    <n v="9043"/>
    <n v="517259.6"/>
  </r>
  <r>
    <n v="30"/>
    <n v="118002879"/>
    <x v="10"/>
    <x v="1"/>
    <x v="25"/>
    <x v="3"/>
    <x v="4"/>
    <x v="3"/>
    <n v="8529"/>
    <n v="213736.74"/>
  </r>
  <r>
    <n v="31"/>
    <n v="944415509"/>
    <x v="9"/>
    <x v="0"/>
    <x v="26"/>
    <x v="1"/>
    <x v="17"/>
    <x v="1"/>
    <n v="2391"/>
    <n v="37443.06"/>
  </r>
  <r>
    <n v="32"/>
    <n v="499009597"/>
    <x v="8"/>
    <x v="1"/>
    <x v="27"/>
    <x v="1"/>
    <x v="3"/>
    <x v="2"/>
    <n v="6884"/>
    <n v="869105"/>
  </r>
  <r>
    <n v="33"/>
    <n v="564646470"/>
    <x v="4"/>
    <x v="1"/>
    <x v="28"/>
    <x v="3"/>
    <x v="13"/>
    <x v="3"/>
    <n v="293"/>
    <n v="706.13"/>
  </r>
  <r>
    <n v="34"/>
    <n v="294499957"/>
    <x v="2"/>
    <x v="0"/>
    <x v="29"/>
    <x v="1"/>
    <x v="12"/>
    <x v="4"/>
    <n v="7937"/>
    <n v="760840.82"/>
  </r>
  <r>
    <n v="35"/>
    <n v="262056386"/>
    <x v="9"/>
    <x v="0"/>
    <x v="30"/>
    <x v="2"/>
    <x v="4"/>
    <x v="3"/>
    <n v="7163"/>
    <n v="112172.58"/>
  </r>
  <r>
    <n v="36"/>
    <n v="211114585"/>
    <x v="8"/>
    <x v="1"/>
    <x v="31"/>
    <x v="1"/>
    <x v="18"/>
    <x v="2"/>
    <n v="2352"/>
    <n v="296940"/>
  </r>
  <r>
    <n v="37"/>
    <n v="405785882"/>
    <x v="8"/>
    <x v="0"/>
    <x v="32"/>
    <x v="0"/>
    <x v="6"/>
    <x v="2"/>
    <n v="9915"/>
    <n v="1251768.75"/>
  </r>
  <r>
    <n v="38"/>
    <n v="280494105"/>
    <x v="1"/>
    <x v="0"/>
    <x v="33"/>
    <x v="3"/>
    <x v="19"/>
    <x v="1"/>
    <n v="3294"/>
    <n v="207950.22"/>
  </r>
  <r>
    <n v="39"/>
    <n v="689975583"/>
    <x v="2"/>
    <x v="1"/>
    <x v="34"/>
    <x v="2"/>
    <x v="20"/>
    <x v="3"/>
    <n v="7963"/>
    <n v="763333.18"/>
  </r>
  <r>
    <n v="40"/>
    <n v="759279143"/>
    <x v="8"/>
    <x v="1"/>
    <x v="13"/>
    <x v="3"/>
    <x v="9"/>
    <x v="2"/>
    <n v="6426"/>
    <n v="811282.5"/>
  </r>
  <r>
    <n v="41"/>
    <n v="133766114"/>
    <x v="8"/>
    <x v="0"/>
    <x v="35"/>
    <x v="1"/>
    <x v="21"/>
    <x v="2"/>
    <n v="3221"/>
    <n v="406651.25"/>
  </r>
  <r>
    <n v="42"/>
    <n v="329110324"/>
    <x v="9"/>
    <x v="1"/>
    <x v="36"/>
    <x v="2"/>
    <x v="20"/>
    <x v="3"/>
    <n v="9913"/>
    <n v="155237.57999999999"/>
  </r>
  <r>
    <n v="43"/>
    <n v="681298100"/>
    <x v="11"/>
    <x v="1"/>
    <x v="37"/>
    <x v="0"/>
    <x v="19"/>
    <x v="1"/>
    <n v="103"/>
    <n v="5891.6"/>
  </r>
  <r>
    <n v="44"/>
    <n v="596628272"/>
    <x v="6"/>
    <x v="0"/>
    <x v="12"/>
    <x v="0"/>
    <x v="13"/>
    <x v="3"/>
    <n v="4419"/>
    <n v="243663.66"/>
  </r>
  <r>
    <n v="45"/>
    <n v="901712167"/>
    <x v="8"/>
    <x v="0"/>
    <x v="38"/>
    <x v="1"/>
    <x v="22"/>
    <x v="1"/>
    <n v="5523"/>
    <n v="697278.75"/>
  </r>
  <r>
    <n v="46"/>
    <n v="693473613"/>
    <x v="9"/>
    <x v="1"/>
    <x v="39"/>
    <x v="3"/>
    <x v="17"/>
    <x v="1"/>
    <n v="3107"/>
    <n v="48655.62"/>
  </r>
  <r>
    <n v="47"/>
    <n v="489148938"/>
    <x v="11"/>
    <x v="1"/>
    <x v="20"/>
    <x v="2"/>
    <x v="4"/>
    <x v="3"/>
    <n v="8896"/>
    <n v="508851.20000000001"/>
  </r>
  <r>
    <n v="48"/>
    <n v="876286971"/>
    <x v="7"/>
    <x v="1"/>
    <x v="24"/>
    <x v="3"/>
    <x v="12"/>
    <x v="4"/>
    <n v="1643"/>
    <n v="272294.39"/>
  </r>
  <r>
    <n v="49"/>
    <n v="262749040"/>
    <x v="10"/>
    <x v="0"/>
    <x v="40"/>
    <x v="2"/>
    <x v="19"/>
    <x v="1"/>
    <n v="2135"/>
    <n v="53503.1"/>
  </r>
  <r>
    <n v="50"/>
    <n v="726708972"/>
    <x v="11"/>
    <x v="1"/>
    <x v="41"/>
    <x v="0"/>
    <x v="8"/>
    <x v="0"/>
    <n v="8189"/>
    <n v="468410.8"/>
  </r>
  <r>
    <n v="51"/>
    <n v="366653096"/>
    <x v="1"/>
    <x v="1"/>
    <x v="7"/>
    <x v="1"/>
    <x v="3"/>
    <x v="2"/>
    <n v="9654"/>
    <n v="609457.02"/>
  </r>
  <r>
    <n v="52"/>
    <n v="951380240"/>
    <x v="1"/>
    <x v="1"/>
    <x v="42"/>
    <x v="0"/>
    <x v="23"/>
    <x v="1"/>
    <n v="3410"/>
    <n v="215273.3"/>
  </r>
  <r>
    <n v="53"/>
    <n v="270001733"/>
    <x v="0"/>
    <x v="1"/>
    <x v="5"/>
    <x v="0"/>
    <x v="3"/>
    <x v="2"/>
    <n v="8368"/>
    <n v="1454944.16"/>
  </r>
  <r>
    <n v="54"/>
    <n v="681941401"/>
    <x v="9"/>
    <x v="1"/>
    <x v="43"/>
    <x v="1"/>
    <x v="0"/>
    <x v="0"/>
    <n v="470"/>
    <n v="7360.2"/>
  </r>
  <r>
    <n v="55"/>
    <n v="566935575"/>
    <x v="4"/>
    <x v="1"/>
    <x v="44"/>
    <x v="1"/>
    <x v="16"/>
    <x v="4"/>
    <n v="7690"/>
    <n v="18532.900000000001"/>
  </r>
  <r>
    <n v="56"/>
    <n v="175033080"/>
    <x v="6"/>
    <x v="0"/>
    <x v="22"/>
    <x v="0"/>
    <x v="24"/>
    <x v="3"/>
    <n v="5033"/>
    <n v="277519.62"/>
  </r>
  <r>
    <n v="57"/>
    <n v="276595246"/>
    <x v="8"/>
    <x v="0"/>
    <x v="45"/>
    <x v="3"/>
    <x v="23"/>
    <x v="1"/>
    <n v="9535"/>
    <n v="1203793.75"/>
  </r>
  <r>
    <n v="58"/>
    <n v="812295901"/>
    <x v="8"/>
    <x v="1"/>
    <x v="13"/>
    <x v="3"/>
    <x v="17"/>
    <x v="1"/>
    <n v="5263"/>
    <n v="664453.75"/>
  </r>
  <r>
    <n v="59"/>
    <n v="443121373"/>
    <x v="1"/>
    <x v="0"/>
    <x v="46"/>
    <x v="1"/>
    <x v="6"/>
    <x v="2"/>
    <n v="8316"/>
    <n v="524989.07999999996"/>
  </r>
  <r>
    <n v="60"/>
    <n v="600370490"/>
    <x v="10"/>
    <x v="0"/>
    <x v="41"/>
    <x v="0"/>
    <x v="21"/>
    <x v="2"/>
    <n v="1824"/>
    <n v="45709.440000000002"/>
  </r>
  <r>
    <n v="61"/>
    <n v="535654580"/>
    <x v="8"/>
    <x v="1"/>
    <x v="46"/>
    <x v="1"/>
    <x v="19"/>
    <x v="1"/>
    <n v="949"/>
    <n v="119811.25"/>
  </r>
  <r>
    <n v="62"/>
    <n v="470897471"/>
    <x v="0"/>
    <x v="0"/>
    <x v="6"/>
    <x v="3"/>
    <x v="25"/>
    <x v="2"/>
    <n v="7881"/>
    <n v="1370269.47"/>
  </r>
  <r>
    <n v="63"/>
    <n v="248335492"/>
    <x v="9"/>
    <x v="0"/>
    <x v="47"/>
    <x v="1"/>
    <x v="12"/>
    <x v="4"/>
    <n v="6846"/>
    <n v="107208.36"/>
  </r>
  <r>
    <n v="64"/>
    <n v="680517470"/>
    <x v="5"/>
    <x v="0"/>
    <x v="6"/>
    <x v="3"/>
    <x v="16"/>
    <x v="4"/>
    <n v="9097"/>
    <n v="668083.68000000005"/>
  </r>
  <r>
    <n v="65"/>
    <n v="400304734"/>
    <x v="10"/>
    <x v="1"/>
    <x v="48"/>
    <x v="1"/>
    <x v="6"/>
    <x v="2"/>
    <n v="7921"/>
    <n v="198500.26"/>
  </r>
  <r>
    <n v="66"/>
    <n v="810871112"/>
    <x v="8"/>
    <x v="0"/>
    <x v="49"/>
    <x v="3"/>
    <x v="26"/>
    <x v="1"/>
    <n v="3636"/>
    <n v="459045"/>
  </r>
  <r>
    <n v="67"/>
    <n v="235702931"/>
    <x v="3"/>
    <x v="1"/>
    <x v="45"/>
    <x v="3"/>
    <x v="10"/>
    <x v="3"/>
    <n v="8590"/>
    <n v="760988.1"/>
  </r>
  <r>
    <n v="68"/>
    <n v="668599021"/>
    <x v="8"/>
    <x v="0"/>
    <x v="29"/>
    <x v="1"/>
    <x v="12"/>
    <x v="4"/>
    <n v="2163"/>
    <n v="273078.75"/>
  </r>
  <r>
    <n v="69"/>
    <n v="123670709"/>
    <x v="2"/>
    <x v="1"/>
    <x v="25"/>
    <x v="3"/>
    <x v="10"/>
    <x v="3"/>
    <n v="5766"/>
    <n v="552728.76"/>
  </r>
  <r>
    <n v="70"/>
    <n v="285341823"/>
    <x v="8"/>
    <x v="1"/>
    <x v="50"/>
    <x v="1"/>
    <x v="13"/>
    <x v="3"/>
    <n v="7841"/>
    <n v="989926.25"/>
  </r>
  <r>
    <n v="71"/>
    <n v="658348691"/>
    <x v="4"/>
    <x v="1"/>
    <x v="51"/>
    <x v="2"/>
    <x v="7"/>
    <x v="3"/>
    <n v="8862"/>
    <n v="21357.42"/>
  </r>
  <r>
    <n v="72"/>
    <n v="817740142"/>
    <x v="2"/>
    <x v="0"/>
    <x v="36"/>
    <x v="2"/>
    <x v="27"/>
    <x v="3"/>
    <n v="6335"/>
    <n v="607273.1"/>
  </r>
  <r>
    <n v="73"/>
    <n v="858877503"/>
    <x v="9"/>
    <x v="0"/>
    <x v="32"/>
    <x v="0"/>
    <x v="24"/>
    <x v="3"/>
    <n v="9794"/>
    <n v="153374.04"/>
  </r>
  <r>
    <n v="74"/>
    <n v="947434604"/>
    <x v="1"/>
    <x v="0"/>
    <x v="52"/>
    <x v="3"/>
    <x v="17"/>
    <x v="1"/>
    <n v="5808"/>
    <n v="366659.04"/>
  </r>
  <r>
    <n v="75"/>
    <n v="869397771"/>
    <x v="11"/>
    <x v="0"/>
    <x v="6"/>
    <x v="3"/>
    <x v="20"/>
    <x v="3"/>
    <n v="2975"/>
    <n v="170170"/>
  </r>
  <r>
    <n v="76"/>
    <n v="481065833"/>
    <x v="10"/>
    <x v="0"/>
    <x v="7"/>
    <x v="1"/>
    <x v="18"/>
    <x v="2"/>
    <n v="6925"/>
    <n v="173540.5"/>
  </r>
  <r>
    <n v="77"/>
    <n v="159050118"/>
    <x v="11"/>
    <x v="1"/>
    <x v="53"/>
    <x v="2"/>
    <x v="8"/>
    <x v="0"/>
    <n v="5319"/>
    <n v="304246.8"/>
  </r>
  <r>
    <n v="78"/>
    <n v="350274455"/>
    <x v="8"/>
    <x v="1"/>
    <x v="35"/>
    <x v="1"/>
    <x v="20"/>
    <x v="3"/>
    <n v="2850"/>
    <n v="359812.5"/>
  </r>
  <r>
    <n v="79"/>
    <n v="221975171"/>
    <x v="3"/>
    <x v="1"/>
    <x v="3"/>
    <x v="1"/>
    <x v="0"/>
    <x v="0"/>
    <n v="6241"/>
    <n v="552890.18999999994"/>
  </r>
  <r>
    <n v="80"/>
    <n v="811701095"/>
    <x v="8"/>
    <x v="1"/>
    <x v="26"/>
    <x v="1"/>
    <x v="0"/>
    <x v="0"/>
    <n v="9247"/>
    <n v="1167433.75"/>
  </r>
  <r>
    <n v="81"/>
    <n v="977313554"/>
    <x v="3"/>
    <x v="1"/>
    <x v="54"/>
    <x v="3"/>
    <x v="3"/>
    <x v="2"/>
    <n v="7653"/>
    <n v="677979.27"/>
  </r>
  <r>
    <n v="82"/>
    <n v="546986377"/>
    <x v="6"/>
    <x v="0"/>
    <x v="55"/>
    <x v="3"/>
    <x v="26"/>
    <x v="1"/>
    <n v="4279"/>
    <n v="235944.06"/>
  </r>
  <r>
    <n v="83"/>
    <n v="769205892"/>
    <x v="4"/>
    <x v="0"/>
    <x v="56"/>
    <x v="3"/>
    <x v="23"/>
    <x v="1"/>
    <n v="3972"/>
    <n v="9572.52"/>
  </r>
  <r>
    <n v="84"/>
    <n v="262770926"/>
    <x v="5"/>
    <x v="0"/>
    <x v="49"/>
    <x v="3"/>
    <x v="12"/>
    <x v="4"/>
    <n v="8611"/>
    <n v="632391.84"/>
  </r>
  <r>
    <n v="85"/>
    <n v="866792809"/>
    <x v="6"/>
    <x v="1"/>
    <x v="57"/>
    <x v="3"/>
    <x v="16"/>
    <x v="4"/>
    <n v="2109"/>
    <n v="116290.26"/>
  </r>
  <r>
    <n v="86"/>
    <n v="890695369"/>
    <x v="9"/>
    <x v="0"/>
    <x v="13"/>
    <x v="3"/>
    <x v="6"/>
    <x v="2"/>
    <n v="5408"/>
    <n v="84689.279999999999"/>
  </r>
  <r>
    <n v="87"/>
    <n v="964214932"/>
    <x v="3"/>
    <x v="0"/>
    <x v="58"/>
    <x v="3"/>
    <x v="24"/>
    <x v="3"/>
    <n v="1480"/>
    <n v="131113.20000000001"/>
  </r>
  <r>
    <n v="88"/>
    <n v="887400329"/>
    <x v="6"/>
    <x v="1"/>
    <x v="48"/>
    <x v="1"/>
    <x v="16"/>
    <x v="4"/>
    <n v="332"/>
    <n v="18306.48"/>
  </r>
  <r>
    <n v="89"/>
    <n v="980612885"/>
    <x v="9"/>
    <x v="0"/>
    <x v="59"/>
    <x v="2"/>
    <x v="20"/>
    <x v="3"/>
    <n v="3999"/>
    <n v="62624.34"/>
  </r>
  <r>
    <n v="90"/>
    <n v="734526431"/>
    <x v="5"/>
    <x v="0"/>
    <x v="60"/>
    <x v="2"/>
    <x v="1"/>
    <x v="1"/>
    <n v="1549"/>
    <n v="113758.56"/>
  </r>
  <r>
    <n v="91"/>
    <n v="160127294"/>
    <x v="2"/>
    <x v="1"/>
    <x v="61"/>
    <x v="3"/>
    <x v="10"/>
    <x v="3"/>
    <n v="4079"/>
    <n v="391012.94"/>
  </r>
  <r>
    <n v="92"/>
    <n v="238714301"/>
    <x v="5"/>
    <x v="0"/>
    <x v="20"/>
    <x v="2"/>
    <x v="6"/>
    <x v="2"/>
    <n v="9721"/>
    <n v="713910.24"/>
  </r>
  <r>
    <n v="93"/>
    <n v="671898782"/>
    <x v="7"/>
    <x v="1"/>
    <x v="49"/>
    <x v="3"/>
    <x v="5"/>
    <x v="4"/>
    <n v="8635"/>
    <n v="1431078.55"/>
  </r>
  <r>
    <n v="94"/>
    <n v="331604564"/>
    <x v="10"/>
    <x v="0"/>
    <x v="30"/>
    <x v="2"/>
    <x v="18"/>
    <x v="2"/>
    <n v="8014"/>
    <n v="200830.84"/>
  </r>
  <r>
    <n v="95"/>
    <n v="410067975"/>
    <x v="3"/>
    <x v="1"/>
    <x v="2"/>
    <x v="0"/>
    <x v="6"/>
    <x v="2"/>
    <n v="7081"/>
    <n v="627305.79"/>
  </r>
  <r>
    <n v="96"/>
    <n v="369837844"/>
    <x v="6"/>
    <x v="0"/>
    <x v="33"/>
    <x v="3"/>
    <x v="15"/>
    <x v="0"/>
    <n v="2091"/>
    <n v="115297.74"/>
  </r>
  <r>
    <n v="97"/>
    <n v="193775498"/>
    <x v="4"/>
    <x v="1"/>
    <x v="62"/>
    <x v="0"/>
    <x v="26"/>
    <x v="1"/>
    <n v="1331"/>
    <n v="3207.71"/>
  </r>
  <r>
    <n v="98"/>
    <n v="835054767"/>
    <x v="5"/>
    <x v="1"/>
    <x v="63"/>
    <x v="2"/>
    <x v="10"/>
    <x v="3"/>
    <n v="117"/>
    <n v="8592.48"/>
  </r>
  <r>
    <n v="99"/>
    <n v="167161977"/>
    <x v="7"/>
    <x v="0"/>
    <x v="64"/>
    <x v="0"/>
    <x v="21"/>
    <x v="2"/>
    <n v="5798"/>
    <n v="960902.54"/>
  </r>
  <r>
    <n v="100"/>
    <n v="633895957"/>
    <x v="1"/>
    <x v="0"/>
    <x v="65"/>
    <x v="2"/>
    <x v="21"/>
    <x v="2"/>
    <n v="2755"/>
    <n v="173923.15"/>
  </r>
  <r>
    <n v="101"/>
    <n v="699368035"/>
    <x v="5"/>
    <x v="0"/>
    <x v="66"/>
    <x v="0"/>
    <x v="10"/>
    <x v="3"/>
    <n v="7398"/>
    <n v="543309.12"/>
  </r>
  <r>
    <n v="102"/>
    <n v="698002040"/>
    <x v="1"/>
    <x v="0"/>
    <x v="27"/>
    <x v="1"/>
    <x v="28"/>
    <x v="2"/>
    <n v="3170"/>
    <n v="200122.1"/>
  </r>
  <r>
    <n v="103"/>
    <n v="584534299"/>
    <x v="6"/>
    <x v="0"/>
    <x v="45"/>
    <x v="3"/>
    <x v="24"/>
    <x v="3"/>
    <n v="5544"/>
    <n v="305696.15999999997"/>
  </r>
  <r>
    <n v="104"/>
    <n v="384013640"/>
    <x v="1"/>
    <x v="1"/>
    <x v="67"/>
    <x v="1"/>
    <x v="17"/>
    <x v="1"/>
    <n v="7025"/>
    <n v="443488.25"/>
  </r>
  <r>
    <n v="105"/>
    <n v="641801393"/>
    <x v="10"/>
    <x v="1"/>
    <x v="68"/>
    <x v="1"/>
    <x v="10"/>
    <x v="3"/>
    <n v="2149"/>
    <n v="53853.94"/>
  </r>
  <r>
    <n v="106"/>
    <n v="173571383"/>
    <x v="10"/>
    <x v="1"/>
    <x v="41"/>
    <x v="0"/>
    <x v="8"/>
    <x v="0"/>
    <n v="2484"/>
    <n v="62249.04"/>
  </r>
  <r>
    <n v="107"/>
    <n v="115309941"/>
    <x v="6"/>
    <x v="0"/>
    <x v="33"/>
    <x v="3"/>
    <x v="14"/>
    <x v="3"/>
    <n v="1629"/>
    <n v="89823.06"/>
  </r>
  <r>
    <n v="108"/>
    <n v="773315894"/>
    <x v="0"/>
    <x v="0"/>
    <x v="59"/>
    <x v="2"/>
    <x v="3"/>
    <x v="2"/>
    <n v="213"/>
    <n v="37034.31"/>
  </r>
  <r>
    <n v="109"/>
    <n v="274200570"/>
    <x v="9"/>
    <x v="1"/>
    <x v="7"/>
    <x v="1"/>
    <x v="0"/>
    <x v="0"/>
    <n v="897"/>
    <n v="14047.02"/>
  </r>
  <r>
    <n v="110"/>
    <n v="414887797"/>
    <x v="5"/>
    <x v="0"/>
    <x v="1"/>
    <x v="0"/>
    <x v="15"/>
    <x v="0"/>
    <n v="3374"/>
    <n v="247786.56"/>
  </r>
  <r>
    <n v="111"/>
    <n v="812613904"/>
    <x v="9"/>
    <x v="0"/>
    <x v="55"/>
    <x v="3"/>
    <x v="28"/>
    <x v="2"/>
    <n v="9367"/>
    <n v="146687.22"/>
  </r>
  <r>
    <n v="112"/>
    <n v="254927718"/>
    <x v="2"/>
    <x v="1"/>
    <x v="4"/>
    <x v="2"/>
    <x v="18"/>
    <x v="2"/>
    <n v="7632"/>
    <n v="731603.52"/>
  </r>
  <r>
    <n v="113"/>
    <n v="749690568"/>
    <x v="9"/>
    <x v="0"/>
    <x v="17"/>
    <x v="2"/>
    <x v="7"/>
    <x v="3"/>
    <n v="8954"/>
    <n v="140219.64000000001"/>
  </r>
  <r>
    <n v="114"/>
    <n v="775076282"/>
    <x v="3"/>
    <x v="0"/>
    <x v="17"/>
    <x v="2"/>
    <x v="0"/>
    <x v="0"/>
    <n v="1150"/>
    <n v="101878.5"/>
  </r>
  <r>
    <n v="115"/>
    <n v="229571187"/>
    <x v="8"/>
    <x v="1"/>
    <x v="63"/>
    <x v="2"/>
    <x v="1"/>
    <x v="1"/>
    <n v="4071"/>
    <n v="513963.75"/>
  </r>
  <r>
    <n v="116"/>
    <n v="881974112"/>
    <x v="2"/>
    <x v="1"/>
    <x v="69"/>
    <x v="1"/>
    <x v="1"/>
    <x v="1"/>
    <n v="4594"/>
    <n v="440380.84"/>
  </r>
  <r>
    <n v="117"/>
    <n v="521396386"/>
    <x v="6"/>
    <x v="1"/>
    <x v="24"/>
    <x v="3"/>
    <x v="6"/>
    <x v="2"/>
    <n v="1632"/>
    <n v="89988.479999999996"/>
  </r>
  <r>
    <n v="118"/>
    <n v="607261836"/>
    <x v="7"/>
    <x v="1"/>
    <x v="23"/>
    <x v="3"/>
    <x v="22"/>
    <x v="1"/>
    <n v="1127"/>
    <n v="186777.71"/>
  </r>
  <r>
    <n v="119"/>
    <n v="419306790"/>
    <x v="1"/>
    <x v="1"/>
    <x v="45"/>
    <x v="3"/>
    <x v="10"/>
    <x v="3"/>
    <n v="1052"/>
    <n v="66412.759999999995"/>
  </r>
  <r>
    <n v="120"/>
    <n v="207580077"/>
    <x v="11"/>
    <x v="0"/>
    <x v="51"/>
    <x v="2"/>
    <x v="3"/>
    <x v="2"/>
    <n v="6413"/>
    <n v="366823.6"/>
  </r>
  <r>
    <n v="121"/>
    <n v="742443025"/>
    <x v="6"/>
    <x v="1"/>
    <x v="70"/>
    <x v="1"/>
    <x v="4"/>
    <x v="3"/>
    <n v="4245"/>
    <n v="234069.3"/>
  </r>
  <r>
    <n v="122"/>
    <n v="164569461"/>
    <x v="6"/>
    <x v="0"/>
    <x v="66"/>
    <x v="0"/>
    <x v="5"/>
    <x v="4"/>
    <n v="8615"/>
    <n v="475031.1"/>
  </r>
  <r>
    <n v="123"/>
    <n v="734945714"/>
    <x v="2"/>
    <x v="1"/>
    <x v="9"/>
    <x v="0"/>
    <x v="9"/>
    <x v="2"/>
    <n v="5624"/>
    <n v="539116.64"/>
  </r>
  <r>
    <n v="124"/>
    <n v="284870612"/>
    <x v="5"/>
    <x v="0"/>
    <x v="63"/>
    <x v="2"/>
    <x v="26"/>
    <x v="1"/>
    <n v="8399"/>
    <n v="616822.56000000006"/>
  </r>
  <r>
    <n v="125"/>
    <n v="765955483"/>
    <x v="4"/>
    <x v="0"/>
    <x v="59"/>
    <x v="2"/>
    <x v="6"/>
    <x v="2"/>
    <n v="2104"/>
    <n v="5070.6400000000003"/>
  </r>
  <r>
    <n v="126"/>
    <n v="600124156"/>
    <x v="6"/>
    <x v="0"/>
    <x v="56"/>
    <x v="3"/>
    <x v="19"/>
    <x v="1"/>
    <n v="8929"/>
    <n v="492345.06"/>
  </r>
  <r>
    <n v="127"/>
    <n v="529612958"/>
    <x v="7"/>
    <x v="0"/>
    <x v="71"/>
    <x v="0"/>
    <x v="14"/>
    <x v="3"/>
    <n v="3098"/>
    <n v="513431.54"/>
  </r>
  <r>
    <n v="128"/>
    <n v="466970717"/>
    <x v="5"/>
    <x v="0"/>
    <x v="21"/>
    <x v="3"/>
    <x v="28"/>
    <x v="2"/>
    <n v="5867"/>
    <n v="430872.48"/>
  </r>
  <r>
    <n v="129"/>
    <n v="845058763"/>
    <x v="0"/>
    <x v="1"/>
    <x v="18"/>
    <x v="2"/>
    <x v="8"/>
    <x v="0"/>
    <n v="522"/>
    <n v="90760.14"/>
  </r>
  <r>
    <n v="130"/>
    <n v="367050921"/>
    <x v="6"/>
    <x v="0"/>
    <x v="65"/>
    <x v="2"/>
    <x v="11"/>
    <x v="1"/>
    <n v="7379"/>
    <n v="406878.06"/>
  </r>
  <r>
    <n v="131"/>
    <n v="956433522"/>
    <x v="8"/>
    <x v="1"/>
    <x v="40"/>
    <x v="2"/>
    <x v="18"/>
    <x v="2"/>
    <n v="8788"/>
    <n v="1109485"/>
  </r>
  <r>
    <n v="132"/>
    <n v="107005393"/>
    <x v="9"/>
    <x v="1"/>
    <x v="33"/>
    <x v="3"/>
    <x v="26"/>
    <x v="1"/>
    <n v="4129"/>
    <n v="64660.14"/>
  </r>
  <r>
    <n v="133"/>
    <n v="332877862"/>
    <x v="9"/>
    <x v="0"/>
    <x v="47"/>
    <x v="1"/>
    <x v="14"/>
    <x v="3"/>
    <n v="4811"/>
    <n v="75340.259999999995"/>
  </r>
  <r>
    <n v="134"/>
    <n v="618474757"/>
    <x v="2"/>
    <x v="1"/>
    <x v="72"/>
    <x v="0"/>
    <x v="3"/>
    <x v="2"/>
    <n v="9279"/>
    <n v="889484.94"/>
  </r>
  <r>
    <n v="135"/>
    <n v="468532407"/>
    <x v="7"/>
    <x v="1"/>
    <x v="28"/>
    <x v="3"/>
    <x v="3"/>
    <x v="2"/>
    <n v="8006"/>
    <n v="1326834.3799999999"/>
  </r>
  <r>
    <n v="136"/>
    <n v="358099639"/>
    <x v="8"/>
    <x v="0"/>
    <x v="38"/>
    <x v="1"/>
    <x v="27"/>
    <x v="3"/>
    <n v="8496"/>
    <n v="1072620"/>
  </r>
  <r>
    <n v="137"/>
    <n v="382537782"/>
    <x v="7"/>
    <x v="1"/>
    <x v="49"/>
    <x v="3"/>
    <x v="27"/>
    <x v="3"/>
    <n v="285"/>
    <n v="47233.05"/>
  </r>
  <r>
    <n v="138"/>
    <n v="707520663"/>
    <x v="10"/>
    <x v="0"/>
    <x v="73"/>
    <x v="3"/>
    <x v="18"/>
    <x v="2"/>
    <n v="9942"/>
    <n v="249146.52"/>
  </r>
  <r>
    <n v="139"/>
    <n v="219034612"/>
    <x v="11"/>
    <x v="1"/>
    <x v="5"/>
    <x v="0"/>
    <x v="11"/>
    <x v="1"/>
    <n v="6064"/>
    <n v="346860.79999999999"/>
  </r>
  <r>
    <n v="140"/>
    <n v="573378455"/>
    <x v="11"/>
    <x v="0"/>
    <x v="8"/>
    <x v="3"/>
    <x v="19"/>
    <x v="1"/>
    <n v="4281"/>
    <n v="244873.2"/>
  </r>
  <r>
    <n v="141"/>
    <n v="347163522"/>
    <x v="10"/>
    <x v="1"/>
    <x v="21"/>
    <x v="3"/>
    <x v="21"/>
    <x v="2"/>
    <n v="2256"/>
    <n v="56535.360000000001"/>
  </r>
  <r>
    <n v="142"/>
    <n v="887313640"/>
    <x v="6"/>
    <x v="0"/>
    <x v="47"/>
    <x v="1"/>
    <x v="10"/>
    <x v="3"/>
    <n v="4679"/>
    <n v="258000.06"/>
  </r>
  <r>
    <n v="143"/>
    <n v="461065137"/>
    <x v="0"/>
    <x v="1"/>
    <x v="74"/>
    <x v="2"/>
    <x v="21"/>
    <x v="2"/>
    <n v="8275"/>
    <n v="1438774.25"/>
  </r>
  <r>
    <n v="144"/>
    <n v="105966842"/>
    <x v="4"/>
    <x v="0"/>
    <x v="75"/>
    <x v="1"/>
    <x v="14"/>
    <x v="3"/>
    <n v="6798"/>
    <n v="16383.18"/>
  </r>
  <r>
    <n v="145"/>
    <n v="479880082"/>
    <x v="2"/>
    <x v="1"/>
    <x v="35"/>
    <x v="1"/>
    <x v="26"/>
    <x v="1"/>
    <n v="6035"/>
    <n v="578515.1"/>
  </r>
  <r>
    <n v="146"/>
    <n v="510978686"/>
    <x v="2"/>
    <x v="1"/>
    <x v="40"/>
    <x v="2"/>
    <x v="28"/>
    <x v="2"/>
    <n v="8803"/>
    <n v="843855.58"/>
  </r>
  <r>
    <n v="147"/>
    <n v="547748982"/>
    <x v="6"/>
    <x v="0"/>
    <x v="53"/>
    <x v="2"/>
    <x v="0"/>
    <x v="0"/>
    <n v="9951"/>
    <n v="548698.14"/>
  </r>
  <r>
    <n v="148"/>
    <n v="108989799"/>
    <x v="3"/>
    <x v="0"/>
    <x v="32"/>
    <x v="0"/>
    <x v="12"/>
    <x v="4"/>
    <n v="1358"/>
    <n v="120305.22"/>
  </r>
  <r>
    <n v="149"/>
    <n v="133812463"/>
    <x v="3"/>
    <x v="0"/>
    <x v="76"/>
    <x v="2"/>
    <x v="0"/>
    <x v="0"/>
    <n v="6936"/>
    <n v="614460.24"/>
  </r>
  <r>
    <n v="150"/>
    <n v="731640803"/>
    <x v="4"/>
    <x v="0"/>
    <x v="1"/>
    <x v="0"/>
    <x v="20"/>
    <x v="3"/>
    <n v="7627"/>
    <n v="18381.07"/>
  </r>
  <r>
    <n v="151"/>
    <n v="732211148"/>
    <x v="6"/>
    <x v="0"/>
    <x v="56"/>
    <x v="3"/>
    <x v="12"/>
    <x v="4"/>
    <n v="6405"/>
    <n v="353171.7"/>
  </r>
  <r>
    <n v="152"/>
    <n v="835572326"/>
    <x v="3"/>
    <x v="1"/>
    <x v="77"/>
    <x v="2"/>
    <x v="13"/>
    <x v="3"/>
    <n v="3274"/>
    <n v="290043.65999999997"/>
  </r>
  <r>
    <n v="153"/>
    <n v="462085664"/>
    <x v="2"/>
    <x v="0"/>
    <x v="13"/>
    <x v="3"/>
    <x v="22"/>
    <x v="1"/>
    <n v="271"/>
    <n v="25978.06"/>
  </r>
  <r>
    <n v="154"/>
    <n v="902424991"/>
    <x v="5"/>
    <x v="1"/>
    <x v="43"/>
    <x v="1"/>
    <x v="17"/>
    <x v="1"/>
    <n v="6463"/>
    <n v="474642.72"/>
  </r>
  <r>
    <n v="155"/>
    <n v="367576634"/>
    <x v="4"/>
    <x v="0"/>
    <x v="9"/>
    <x v="0"/>
    <x v="12"/>
    <x v="4"/>
    <n v="2949"/>
    <n v="7107.09"/>
  </r>
  <r>
    <n v="156"/>
    <n v="738839423"/>
    <x v="11"/>
    <x v="0"/>
    <x v="57"/>
    <x v="3"/>
    <x v="11"/>
    <x v="1"/>
    <n v="7859"/>
    <n v="449534.8"/>
  </r>
  <r>
    <n v="157"/>
    <n v="817824685"/>
    <x v="2"/>
    <x v="1"/>
    <x v="51"/>
    <x v="2"/>
    <x v="27"/>
    <x v="3"/>
    <n v="1353"/>
    <n v="129698.58"/>
  </r>
  <r>
    <n v="158"/>
    <n v="376456248"/>
    <x v="6"/>
    <x v="1"/>
    <x v="78"/>
    <x v="2"/>
    <x v="28"/>
    <x v="2"/>
    <n v="624"/>
    <n v="34407.360000000001"/>
  </r>
  <r>
    <n v="159"/>
    <n v="606970441"/>
    <x v="8"/>
    <x v="1"/>
    <x v="34"/>
    <x v="2"/>
    <x v="3"/>
    <x v="2"/>
    <n v="4897"/>
    <n v="618246.25"/>
  </r>
  <r>
    <n v="160"/>
    <n v="971916091"/>
    <x v="11"/>
    <x v="0"/>
    <x v="79"/>
    <x v="0"/>
    <x v="14"/>
    <x v="3"/>
    <n v="424"/>
    <n v="24252.799999999999"/>
  </r>
  <r>
    <n v="161"/>
    <n v="554154527"/>
    <x v="8"/>
    <x v="0"/>
    <x v="7"/>
    <x v="1"/>
    <x v="25"/>
    <x v="2"/>
    <n v="5494"/>
    <n v="693617.5"/>
  </r>
  <r>
    <n v="162"/>
    <n v="306859576"/>
    <x v="7"/>
    <x v="1"/>
    <x v="74"/>
    <x v="2"/>
    <x v="4"/>
    <x v="3"/>
    <n v="5423"/>
    <n v="898753.79"/>
  </r>
  <r>
    <n v="163"/>
    <n v="803517568"/>
    <x v="10"/>
    <x v="0"/>
    <x v="74"/>
    <x v="2"/>
    <x v="0"/>
    <x v="0"/>
    <n v="7559"/>
    <n v="189428.54"/>
  </r>
  <r>
    <n v="164"/>
    <n v="887927329"/>
    <x v="8"/>
    <x v="1"/>
    <x v="59"/>
    <x v="2"/>
    <x v="20"/>
    <x v="3"/>
    <n v="6283"/>
    <n v="793228.75"/>
  </r>
  <r>
    <n v="165"/>
    <n v="824200189"/>
    <x v="1"/>
    <x v="1"/>
    <x v="72"/>
    <x v="0"/>
    <x v="3"/>
    <x v="2"/>
    <n v="8006"/>
    <n v="505418.78"/>
  </r>
  <r>
    <n v="166"/>
    <n v="946759974"/>
    <x v="8"/>
    <x v="1"/>
    <x v="18"/>
    <x v="2"/>
    <x v="15"/>
    <x v="0"/>
    <n v="6170"/>
    <n v="778962.5"/>
  </r>
  <r>
    <n v="167"/>
    <n v="310343015"/>
    <x v="5"/>
    <x v="0"/>
    <x v="10"/>
    <x v="0"/>
    <x v="2"/>
    <x v="2"/>
    <n v="6249"/>
    <n v="458926.56"/>
  </r>
  <r>
    <n v="168"/>
    <n v="739998137"/>
    <x v="1"/>
    <x v="1"/>
    <x v="35"/>
    <x v="1"/>
    <x v="19"/>
    <x v="1"/>
    <n v="748"/>
    <n v="47221.24"/>
  </r>
  <r>
    <n v="169"/>
    <n v="981086671"/>
    <x v="9"/>
    <x v="1"/>
    <x v="22"/>
    <x v="0"/>
    <x v="7"/>
    <x v="3"/>
    <n v="4203"/>
    <n v="65818.98"/>
  </r>
  <r>
    <n v="170"/>
    <n v="749282443"/>
    <x v="8"/>
    <x v="0"/>
    <x v="39"/>
    <x v="3"/>
    <x v="7"/>
    <x v="3"/>
    <n v="8180"/>
    <n v="1032725"/>
  </r>
  <r>
    <n v="171"/>
    <n v="280571782"/>
    <x v="8"/>
    <x v="1"/>
    <x v="21"/>
    <x v="3"/>
    <x v="26"/>
    <x v="1"/>
    <n v="6280"/>
    <n v="792850"/>
  </r>
  <r>
    <n v="172"/>
    <n v="781253516"/>
    <x v="7"/>
    <x v="1"/>
    <x v="65"/>
    <x v="2"/>
    <x v="22"/>
    <x v="1"/>
    <n v="9131"/>
    <n v="1513280.63"/>
  </r>
  <r>
    <n v="173"/>
    <n v="377938973"/>
    <x v="10"/>
    <x v="1"/>
    <x v="74"/>
    <x v="2"/>
    <x v="1"/>
    <x v="1"/>
    <n v="9396"/>
    <n v="235463.76"/>
  </r>
  <r>
    <n v="174"/>
    <n v="867551982"/>
    <x v="5"/>
    <x v="0"/>
    <x v="80"/>
    <x v="0"/>
    <x v="6"/>
    <x v="2"/>
    <n v="6765"/>
    <n v="496821.6"/>
  </r>
  <r>
    <n v="175"/>
    <n v="967328870"/>
    <x v="10"/>
    <x v="0"/>
    <x v="55"/>
    <x v="3"/>
    <x v="8"/>
    <x v="0"/>
    <n v="2964"/>
    <n v="74277.84"/>
  </r>
  <r>
    <n v="176"/>
    <n v="364818465"/>
    <x v="8"/>
    <x v="0"/>
    <x v="59"/>
    <x v="2"/>
    <x v="17"/>
    <x v="1"/>
    <n v="6746"/>
    <n v="851682.5"/>
  </r>
  <r>
    <n v="177"/>
    <n v="167882096"/>
    <x v="8"/>
    <x v="1"/>
    <x v="58"/>
    <x v="3"/>
    <x v="13"/>
    <x v="3"/>
    <n v="8898"/>
    <n v="1123372.5"/>
  </r>
  <r>
    <n v="178"/>
    <n v="654693591"/>
    <x v="5"/>
    <x v="1"/>
    <x v="71"/>
    <x v="0"/>
    <x v="25"/>
    <x v="2"/>
    <n v="7237"/>
    <n v="531485.28"/>
  </r>
  <r>
    <n v="179"/>
    <n v="823739278"/>
    <x v="10"/>
    <x v="0"/>
    <x v="1"/>
    <x v="0"/>
    <x v="6"/>
    <x v="2"/>
    <n v="1612"/>
    <n v="40396.720000000001"/>
  </r>
  <r>
    <n v="180"/>
    <n v="643817985"/>
    <x v="9"/>
    <x v="0"/>
    <x v="16"/>
    <x v="2"/>
    <x v="4"/>
    <x v="3"/>
    <n v="8904"/>
    <n v="139436.64000000001"/>
  </r>
  <r>
    <n v="181"/>
    <n v="604041039"/>
    <x v="10"/>
    <x v="0"/>
    <x v="57"/>
    <x v="3"/>
    <x v="24"/>
    <x v="3"/>
    <n v="8022"/>
    <n v="201031.32"/>
  </r>
  <r>
    <n v="182"/>
    <n v="363832271"/>
    <x v="10"/>
    <x v="1"/>
    <x v="51"/>
    <x v="2"/>
    <x v="27"/>
    <x v="3"/>
    <n v="4909"/>
    <n v="123019.54"/>
  </r>
  <r>
    <n v="183"/>
    <n v="102928006"/>
    <x v="10"/>
    <x v="1"/>
    <x v="10"/>
    <x v="0"/>
    <x v="7"/>
    <x v="3"/>
    <n v="7539"/>
    <n v="188927.34"/>
  </r>
  <r>
    <n v="184"/>
    <n v="971377074"/>
    <x v="8"/>
    <x v="0"/>
    <x v="44"/>
    <x v="1"/>
    <x v="0"/>
    <x v="0"/>
    <n v="917"/>
    <n v="115771.25"/>
  </r>
  <r>
    <n v="185"/>
    <n v="139540803"/>
    <x v="11"/>
    <x v="1"/>
    <x v="42"/>
    <x v="0"/>
    <x v="0"/>
    <x v="0"/>
    <n v="2079"/>
    <n v="118918.8"/>
  </r>
  <r>
    <n v="186"/>
    <n v="248093020"/>
    <x v="11"/>
    <x v="0"/>
    <x v="80"/>
    <x v="0"/>
    <x v="13"/>
    <x v="3"/>
    <n v="5093"/>
    <n v="291319.59999999998"/>
  </r>
  <r>
    <n v="187"/>
    <n v="858020055"/>
    <x v="6"/>
    <x v="0"/>
    <x v="28"/>
    <x v="3"/>
    <x v="5"/>
    <x v="4"/>
    <n v="6056"/>
    <n v="333927.84000000003"/>
  </r>
  <r>
    <n v="188"/>
    <n v="700620734"/>
    <x v="2"/>
    <x v="0"/>
    <x v="79"/>
    <x v="0"/>
    <x v="18"/>
    <x v="2"/>
    <n v="8099"/>
    <n v="776370.14"/>
  </r>
  <r>
    <n v="189"/>
    <n v="827506387"/>
    <x v="0"/>
    <x v="0"/>
    <x v="41"/>
    <x v="0"/>
    <x v="22"/>
    <x v="1"/>
    <n v="6384"/>
    <n v="1109986.08"/>
  </r>
  <r>
    <n v="190"/>
    <n v="560600841"/>
    <x v="7"/>
    <x v="1"/>
    <x v="39"/>
    <x v="3"/>
    <x v="19"/>
    <x v="1"/>
    <n v="3101"/>
    <n v="513928.73"/>
  </r>
  <r>
    <n v="191"/>
    <n v="642140424"/>
    <x v="10"/>
    <x v="0"/>
    <x v="62"/>
    <x v="0"/>
    <x v="1"/>
    <x v="1"/>
    <n v="2476"/>
    <n v="62048.56"/>
  </r>
  <r>
    <n v="192"/>
    <n v="984673964"/>
    <x v="2"/>
    <x v="0"/>
    <x v="54"/>
    <x v="3"/>
    <x v="17"/>
    <x v="1"/>
    <n v="5763"/>
    <n v="552441.18000000005"/>
  </r>
  <r>
    <n v="193"/>
    <n v="221062791"/>
    <x v="9"/>
    <x v="1"/>
    <x v="45"/>
    <x v="3"/>
    <x v="9"/>
    <x v="2"/>
    <n v="6247"/>
    <n v="97828.02"/>
  </r>
  <r>
    <n v="194"/>
    <n v="654480731"/>
    <x v="1"/>
    <x v="0"/>
    <x v="2"/>
    <x v="0"/>
    <x v="23"/>
    <x v="1"/>
    <n v="4247"/>
    <n v="268113.11"/>
  </r>
  <r>
    <n v="195"/>
    <n v="608414113"/>
    <x v="9"/>
    <x v="0"/>
    <x v="81"/>
    <x v="0"/>
    <x v="9"/>
    <x v="2"/>
    <n v="2111"/>
    <n v="33058.26"/>
  </r>
  <r>
    <n v="196"/>
    <n v="276661765"/>
    <x v="7"/>
    <x v="1"/>
    <x v="82"/>
    <x v="3"/>
    <x v="2"/>
    <x v="2"/>
    <n v="9219"/>
    <n v="1527864.87"/>
  </r>
  <r>
    <n v="197"/>
    <n v="373335015"/>
    <x v="2"/>
    <x v="1"/>
    <x v="13"/>
    <x v="3"/>
    <x v="5"/>
    <x v="4"/>
    <n v="6982"/>
    <n v="669294.52"/>
  </r>
  <r>
    <n v="198"/>
    <n v="782857692"/>
    <x v="5"/>
    <x v="1"/>
    <x v="47"/>
    <x v="1"/>
    <x v="4"/>
    <x v="3"/>
    <n v="3843"/>
    <n v="282229.92"/>
  </r>
  <r>
    <n v="199"/>
    <n v="109966123"/>
    <x v="4"/>
    <x v="1"/>
    <x v="31"/>
    <x v="1"/>
    <x v="7"/>
    <x v="3"/>
    <n v="274"/>
    <n v="660.34"/>
  </r>
  <r>
    <n v="200"/>
    <n v="629709136"/>
    <x v="3"/>
    <x v="0"/>
    <x v="26"/>
    <x v="1"/>
    <x v="23"/>
    <x v="1"/>
    <n v="3782"/>
    <n v="335047.38"/>
  </r>
  <r>
    <n v="201"/>
    <n v="637448060"/>
    <x v="10"/>
    <x v="1"/>
    <x v="19"/>
    <x v="2"/>
    <x v="20"/>
    <x v="3"/>
    <n v="3901"/>
    <n v="97759.06"/>
  </r>
  <r>
    <n v="202"/>
    <n v="298856723"/>
    <x v="2"/>
    <x v="1"/>
    <x v="57"/>
    <x v="3"/>
    <x v="19"/>
    <x v="1"/>
    <n v="7200"/>
    <n v="690192"/>
  </r>
  <r>
    <n v="203"/>
    <n v="299921452"/>
    <x v="7"/>
    <x v="0"/>
    <x v="8"/>
    <x v="3"/>
    <x v="5"/>
    <x v="4"/>
    <n v="2278"/>
    <n v="377532.94"/>
  </r>
  <r>
    <n v="204"/>
    <n v="496941077"/>
    <x v="10"/>
    <x v="0"/>
    <x v="51"/>
    <x v="2"/>
    <x v="11"/>
    <x v="1"/>
    <n v="4763"/>
    <n v="119360.78"/>
  </r>
  <r>
    <n v="205"/>
    <n v="366526925"/>
    <x v="6"/>
    <x v="1"/>
    <x v="43"/>
    <x v="1"/>
    <x v="9"/>
    <x v="2"/>
    <n v="2317"/>
    <n v="127759.38"/>
  </r>
  <r>
    <n v="206"/>
    <n v="355602824"/>
    <x v="11"/>
    <x v="0"/>
    <x v="18"/>
    <x v="2"/>
    <x v="7"/>
    <x v="3"/>
    <n v="9633"/>
    <n v="551007.6"/>
  </r>
  <r>
    <n v="207"/>
    <n v="531405103"/>
    <x v="1"/>
    <x v="1"/>
    <x v="56"/>
    <x v="3"/>
    <x v="12"/>
    <x v="4"/>
    <n v="3434"/>
    <n v="216788.42"/>
  </r>
  <r>
    <n v="208"/>
    <n v="131482589"/>
    <x v="1"/>
    <x v="0"/>
    <x v="55"/>
    <x v="3"/>
    <x v="12"/>
    <x v="4"/>
    <n v="7475"/>
    <n v="471896.75"/>
  </r>
  <r>
    <n v="209"/>
    <n v="713696610"/>
    <x v="3"/>
    <x v="1"/>
    <x v="61"/>
    <x v="3"/>
    <x v="9"/>
    <x v="2"/>
    <n v="7542"/>
    <n v="668145.78"/>
  </r>
  <r>
    <n v="210"/>
    <n v="306220996"/>
    <x v="1"/>
    <x v="1"/>
    <x v="28"/>
    <x v="3"/>
    <x v="24"/>
    <x v="3"/>
    <n v="6452"/>
    <n v="407314.76"/>
  </r>
  <r>
    <n v="211"/>
    <n v="157542073"/>
    <x v="7"/>
    <x v="0"/>
    <x v="11"/>
    <x v="3"/>
    <x v="23"/>
    <x v="1"/>
    <n v="9055"/>
    <n v="1500685.15"/>
  </r>
  <r>
    <n v="212"/>
    <n v="686458671"/>
    <x v="10"/>
    <x v="1"/>
    <x v="54"/>
    <x v="3"/>
    <x v="1"/>
    <x v="1"/>
    <n v="7230"/>
    <n v="181183.8"/>
  </r>
  <r>
    <n v="213"/>
    <n v="132082116"/>
    <x v="8"/>
    <x v="1"/>
    <x v="67"/>
    <x v="1"/>
    <x v="19"/>
    <x v="1"/>
    <n v="4888"/>
    <n v="617110"/>
  </r>
  <r>
    <n v="214"/>
    <n v="403836238"/>
    <x v="5"/>
    <x v="1"/>
    <x v="39"/>
    <x v="3"/>
    <x v="9"/>
    <x v="2"/>
    <n v="2972"/>
    <n v="218263.67999999999"/>
  </r>
  <r>
    <n v="215"/>
    <n v="331457364"/>
    <x v="7"/>
    <x v="1"/>
    <x v="29"/>
    <x v="1"/>
    <x v="19"/>
    <x v="1"/>
    <n v="4455"/>
    <n v="738327.15"/>
  </r>
  <r>
    <n v="216"/>
    <n v="614994323"/>
    <x v="11"/>
    <x v="1"/>
    <x v="74"/>
    <x v="2"/>
    <x v="0"/>
    <x v="0"/>
    <n v="9341"/>
    <n v="534305.19999999995"/>
  </r>
  <r>
    <n v="217"/>
    <n v="674808442"/>
    <x v="4"/>
    <x v="0"/>
    <x v="66"/>
    <x v="0"/>
    <x v="5"/>
    <x v="4"/>
    <n v="9669"/>
    <n v="23302.29"/>
  </r>
  <r>
    <n v="218"/>
    <n v="901573550"/>
    <x v="2"/>
    <x v="0"/>
    <x v="12"/>
    <x v="0"/>
    <x v="5"/>
    <x v="4"/>
    <n v="4503"/>
    <n v="431657.58"/>
  </r>
  <r>
    <n v="219"/>
    <n v="406275975"/>
    <x v="5"/>
    <x v="1"/>
    <x v="58"/>
    <x v="3"/>
    <x v="3"/>
    <x v="2"/>
    <n v="4944"/>
    <n v="363087.35999999999"/>
  </r>
  <r>
    <n v="220"/>
    <n v="170214545"/>
    <x v="1"/>
    <x v="1"/>
    <x v="34"/>
    <x v="2"/>
    <x v="16"/>
    <x v="4"/>
    <n v="9121"/>
    <n v="575808.73"/>
  </r>
  <r>
    <n v="221"/>
    <n v="795000588"/>
    <x v="10"/>
    <x v="0"/>
    <x v="25"/>
    <x v="3"/>
    <x v="13"/>
    <x v="3"/>
    <n v="7196"/>
    <n v="180331.76"/>
  </r>
  <r>
    <n v="222"/>
    <n v="252557933"/>
    <x v="4"/>
    <x v="0"/>
    <x v="2"/>
    <x v="0"/>
    <x v="26"/>
    <x v="1"/>
    <n v="6360"/>
    <n v="15327.6"/>
  </r>
  <r>
    <n v="223"/>
    <n v="635122907"/>
    <x v="2"/>
    <x v="0"/>
    <x v="41"/>
    <x v="0"/>
    <x v="16"/>
    <x v="4"/>
    <n v="5837"/>
    <n v="559534.81999999995"/>
  </r>
  <r>
    <n v="224"/>
    <n v="505244338"/>
    <x v="1"/>
    <x v="1"/>
    <x v="4"/>
    <x v="2"/>
    <x v="2"/>
    <x v="2"/>
    <n v="1882"/>
    <n v="118810.66"/>
  </r>
  <r>
    <n v="225"/>
    <n v="745783555"/>
    <x v="5"/>
    <x v="0"/>
    <x v="45"/>
    <x v="3"/>
    <x v="21"/>
    <x v="2"/>
    <n v="2782"/>
    <n v="204310.08"/>
  </r>
  <r>
    <n v="226"/>
    <n v="509914386"/>
    <x v="6"/>
    <x v="0"/>
    <x v="83"/>
    <x v="1"/>
    <x v="23"/>
    <x v="1"/>
    <n v="3853"/>
    <n v="212454.42"/>
  </r>
  <r>
    <n v="227"/>
    <n v="371123158"/>
    <x v="7"/>
    <x v="1"/>
    <x v="28"/>
    <x v="3"/>
    <x v="26"/>
    <x v="1"/>
    <n v="2445"/>
    <n v="405209.85"/>
  </r>
  <r>
    <n v="228"/>
    <n v="973208701"/>
    <x v="7"/>
    <x v="1"/>
    <x v="41"/>
    <x v="0"/>
    <x v="25"/>
    <x v="2"/>
    <n v="2936"/>
    <n v="486583.28"/>
  </r>
  <r>
    <n v="229"/>
    <n v="780282342"/>
    <x v="2"/>
    <x v="1"/>
    <x v="64"/>
    <x v="0"/>
    <x v="22"/>
    <x v="1"/>
    <n v="1739"/>
    <n v="166700.54"/>
  </r>
  <r>
    <n v="230"/>
    <n v="126767909"/>
    <x v="5"/>
    <x v="1"/>
    <x v="3"/>
    <x v="1"/>
    <x v="3"/>
    <x v="2"/>
    <n v="2296"/>
    <n v="168618.23999999999"/>
  </r>
  <r>
    <n v="231"/>
    <n v="767401731"/>
    <x v="2"/>
    <x v="1"/>
    <x v="16"/>
    <x v="2"/>
    <x v="9"/>
    <x v="2"/>
    <n v="80"/>
    <n v="7668.8"/>
  </r>
  <r>
    <n v="232"/>
    <n v="927232635"/>
    <x v="10"/>
    <x v="1"/>
    <x v="2"/>
    <x v="0"/>
    <x v="2"/>
    <x v="2"/>
    <n v="7597"/>
    <n v="190380.82"/>
  </r>
  <r>
    <n v="233"/>
    <n v="251621949"/>
    <x v="11"/>
    <x v="0"/>
    <x v="19"/>
    <x v="2"/>
    <x v="9"/>
    <x v="2"/>
    <n v="9381"/>
    <n v="536593.19999999995"/>
  </r>
  <r>
    <n v="234"/>
    <n v="256243503"/>
    <x v="8"/>
    <x v="0"/>
    <x v="74"/>
    <x v="2"/>
    <x v="4"/>
    <x v="3"/>
    <n v="7002"/>
    <n v="884002.5"/>
  </r>
  <r>
    <n v="235"/>
    <n v="277083623"/>
    <x v="0"/>
    <x v="0"/>
    <x v="77"/>
    <x v="2"/>
    <x v="2"/>
    <x v="2"/>
    <n v="4056"/>
    <n v="705216.72"/>
  </r>
  <r>
    <n v="236"/>
    <n v="620441138"/>
    <x v="1"/>
    <x v="0"/>
    <x v="14"/>
    <x v="1"/>
    <x v="27"/>
    <x v="3"/>
    <n v="1175"/>
    <n v="74177.75"/>
  </r>
  <r>
    <n v="237"/>
    <n v="312927377"/>
    <x v="8"/>
    <x v="0"/>
    <x v="84"/>
    <x v="2"/>
    <x v="13"/>
    <x v="3"/>
    <n v="1020"/>
    <n v="128775"/>
  </r>
  <r>
    <n v="238"/>
    <n v="251466166"/>
    <x v="2"/>
    <x v="0"/>
    <x v="20"/>
    <x v="2"/>
    <x v="10"/>
    <x v="3"/>
    <n v="3282"/>
    <n v="314612.52"/>
  </r>
  <r>
    <n v="239"/>
    <n v="953293836"/>
    <x v="8"/>
    <x v="1"/>
    <x v="14"/>
    <x v="1"/>
    <x v="6"/>
    <x v="2"/>
    <n v="9685"/>
    <n v="1222731.25"/>
  </r>
  <r>
    <n v="240"/>
    <n v="305959212"/>
    <x v="3"/>
    <x v="1"/>
    <x v="83"/>
    <x v="1"/>
    <x v="1"/>
    <x v="1"/>
    <n v="8985"/>
    <n v="795981.15"/>
  </r>
  <r>
    <n v="241"/>
    <n v="317323625"/>
    <x v="3"/>
    <x v="1"/>
    <x v="61"/>
    <x v="3"/>
    <x v="3"/>
    <x v="2"/>
    <n v="1967"/>
    <n v="174256.53"/>
  </r>
  <r>
    <n v="242"/>
    <n v="365560901"/>
    <x v="7"/>
    <x v="0"/>
    <x v="77"/>
    <x v="2"/>
    <x v="18"/>
    <x v="2"/>
    <n v="6449"/>
    <n v="1068792.77"/>
  </r>
  <r>
    <n v="243"/>
    <n v="349157369"/>
    <x v="2"/>
    <x v="1"/>
    <x v="85"/>
    <x v="3"/>
    <x v="26"/>
    <x v="1"/>
    <n v="2279"/>
    <n v="218464.94"/>
  </r>
  <r>
    <n v="244"/>
    <n v="236911857"/>
    <x v="2"/>
    <x v="1"/>
    <x v="28"/>
    <x v="3"/>
    <x v="24"/>
    <x v="3"/>
    <n v="6338"/>
    <n v="607560.68000000005"/>
  </r>
  <r>
    <n v="245"/>
    <n v="517935693"/>
    <x v="10"/>
    <x v="0"/>
    <x v="86"/>
    <x v="1"/>
    <x v="12"/>
    <x v="4"/>
    <n v="7536"/>
    <n v="188852.16"/>
  </r>
  <r>
    <n v="246"/>
    <n v="851652705"/>
    <x v="5"/>
    <x v="0"/>
    <x v="87"/>
    <x v="3"/>
    <x v="23"/>
    <x v="1"/>
    <n v="1816"/>
    <n v="133367.04000000001"/>
  </r>
  <r>
    <n v="247"/>
    <n v="517799222"/>
    <x v="3"/>
    <x v="0"/>
    <x v="19"/>
    <x v="2"/>
    <x v="25"/>
    <x v="2"/>
    <n v="7151"/>
    <n v="633507.09"/>
  </r>
  <r>
    <n v="248"/>
    <n v="666424071"/>
    <x v="8"/>
    <x v="0"/>
    <x v="54"/>
    <x v="3"/>
    <x v="8"/>
    <x v="0"/>
    <n v="8547"/>
    <n v="1079058.75"/>
  </r>
  <r>
    <n v="249"/>
    <n v="267888581"/>
    <x v="4"/>
    <x v="0"/>
    <x v="42"/>
    <x v="0"/>
    <x v="5"/>
    <x v="4"/>
    <n v="3039"/>
    <n v="7323.99"/>
  </r>
  <r>
    <n v="250"/>
    <n v="162866580"/>
    <x v="1"/>
    <x v="1"/>
    <x v="77"/>
    <x v="2"/>
    <x v="0"/>
    <x v="0"/>
    <n v="4695"/>
    <n v="296395.34999999998"/>
  </r>
  <r>
    <n v="251"/>
    <n v="812344396"/>
    <x v="9"/>
    <x v="0"/>
    <x v="76"/>
    <x v="2"/>
    <x v="28"/>
    <x v="2"/>
    <n v="9614"/>
    <n v="150555.24"/>
  </r>
  <r>
    <n v="252"/>
    <n v="947620856"/>
    <x v="11"/>
    <x v="1"/>
    <x v="65"/>
    <x v="2"/>
    <x v="15"/>
    <x v="0"/>
    <n v="924"/>
    <n v="52852.800000000003"/>
  </r>
  <r>
    <n v="253"/>
    <n v="720307290"/>
    <x v="1"/>
    <x v="1"/>
    <x v="54"/>
    <x v="3"/>
    <x v="23"/>
    <x v="1"/>
    <n v="3789"/>
    <n v="239199.57"/>
  </r>
  <r>
    <n v="254"/>
    <n v="352327525"/>
    <x v="7"/>
    <x v="1"/>
    <x v="88"/>
    <x v="2"/>
    <x v="22"/>
    <x v="1"/>
    <n v="399"/>
    <n v="66126.27"/>
  </r>
  <r>
    <n v="255"/>
    <n v="585917890"/>
    <x v="7"/>
    <x v="1"/>
    <x v="48"/>
    <x v="1"/>
    <x v="23"/>
    <x v="1"/>
    <n v="4979"/>
    <n v="825169.67"/>
  </r>
  <r>
    <n v="256"/>
    <n v="433627212"/>
    <x v="11"/>
    <x v="0"/>
    <x v="24"/>
    <x v="3"/>
    <x v="14"/>
    <x v="3"/>
    <n v="8783"/>
    <n v="502387.6"/>
  </r>
  <r>
    <n v="257"/>
    <n v="328316819"/>
    <x v="9"/>
    <x v="1"/>
    <x v="7"/>
    <x v="1"/>
    <x v="17"/>
    <x v="1"/>
    <n v="5098"/>
    <n v="79834.679999999993"/>
  </r>
  <r>
    <n v="258"/>
    <n v="773160541"/>
    <x v="3"/>
    <x v="0"/>
    <x v="37"/>
    <x v="0"/>
    <x v="9"/>
    <x v="2"/>
    <n v="4240"/>
    <n v="375621.6"/>
  </r>
  <r>
    <n v="259"/>
    <n v="991644704"/>
    <x v="7"/>
    <x v="1"/>
    <x v="15"/>
    <x v="1"/>
    <x v="27"/>
    <x v="3"/>
    <n v="8559"/>
    <n v="1418483.07"/>
  </r>
  <r>
    <n v="260"/>
    <n v="277568137"/>
    <x v="11"/>
    <x v="1"/>
    <x v="28"/>
    <x v="3"/>
    <x v="19"/>
    <x v="1"/>
    <n v="7435"/>
    <n v="425282"/>
  </r>
  <r>
    <n v="261"/>
    <n v="245042169"/>
    <x v="4"/>
    <x v="1"/>
    <x v="12"/>
    <x v="0"/>
    <x v="4"/>
    <x v="3"/>
    <n v="2278"/>
    <n v="5489.98"/>
  </r>
  <r>
    <n v="262"/>
    <n v="778490626"/>
    <x v="7"/>
    <x v="1"/>
    <x v="21"/>
    <x v="3"/>
    <x v="25"/>
    <x v="2"/>
    <n v="1531"/>
    <n v="253732.63"/>
  </r>
  <r>
    <n v="263"/>
    <n v="482649838"/>
    <x v="2"/>
    <x v="1"/>
    <x v="0"/>
    <x v="0"/>
    <x v="12"/>
    <x v="4"/>
    <n v="5668"/>
    <n v="543334.48"/>
  </r>
  <r>
    <n v="264"/>
    <n v="732568633"/>
    <x v="9"/>
    <x v="1"/>
    <x v="67"/>
    <x v="1"/>
    <x v="12"/>
    <x v="4"/>
    <n v="2193"/>
    <n v="34342.379999999997"/>
  </r>
  <r>
    <n v="265"/>
    <n v="723608338"/>
    <x v="7"/>
    <x v="1"/>
    <x v="71"/>
    <x v="0"/>
    <x v="20"/>
    <x v="3"/>
    <n v="642"/>
    <n v="106398.66"/>
  </r>
  <r>
    <n v="266"/>
    <n v="621442782"/>
    <x v="7"/>
    <x v="0"/>
    <x v="61"/>
    <x v="3"/>
    <x v="20"/>
    <x v="3"/>
    <n v="7584"/>
    <n v="1256896.32"/>
  </r>
  <r>
    <n v="267"/>
    <n v="212058293"/>
    <x v="2"/>
    <x v="0"/>
    <x v="63"/>
    <x v="2"/>
    <x v="26"/>
    <x v="1"/>
    <n v="1616"/>
    <n v="154909.76000000001"/>
  </r>
  <r>
    <n v="268"/>
    <n v="251753699"/>
    <x v="6"/>
    <x v="0"/>
    <x v="58"/>
    <x v="3"/>
    <x v="14"/>
    <x v="3"/>
    <n v="8369"/>
    <n v="461466.66"/>
  </r>
  <r>
    <n v="269"/>
    <n v="217140328"/>
    <x v="4"/>
    <x v="1"/>
    <x v="0"/>
    <x v="0"/>
    <x v="0"/>
    <x v="0"/>
    <n v="5503"/>
    <n v="13262.23"/>
  </r>
  <r>
    <n v="270"/>
    <n v="555142009"/>
    <x v="1"/>
    <x v="1"/>
    <x v="67"/>
    <x v="1"/>
    <x v="8"/>
    <x v="0"/>
    <n v="7712"/>
    <n v="486858.56"/>
  </r>
  <r>
    <n v="271"/>
    <n v="432995069"/>
    <x v="5"/>
    <x v="1"/>
    <x v="42"/>
    <x v="0"/>
    <x v="1"/>
    <x v="1"/>
    <n v="1718"/>
    <n v="126169.92"/>
  </r>
  <r>
    <n v="272"/>
    <n v="888248336"/>
    <x v="10"/>
    <x v="0"/>
    <x v="42"/>
    <x v="0"/>
    <x v="18"/>
    <x v="2"/>
    <n v="1276"/>
    <n v="31976.560000000001"/>
  </r>
  <r>
    <n v="273"/>
    <n v="778763139"/>
    <x v="1"/>
    <x v="1"/>
    <x v="29"/>
    <x v="1"/>
    <x v="27"/>
    <x v="3"/>
    <n v="2173"/>
    <n v="137181.49"/>
  </r>
  <r>
    <n v="274"/>
    <n v="832713305"/>
    <x v="6"/>
    <x v="0"/>
    <x v="62"/>
    <x v="0"/>
    <x v="8"/>
    <x v="0"/>
    <n v="7227"/>
    <n v="398496.78"/>
  </r>
  <r>
    <n v="275"/>
    <n v="498585164"/>
    <x v="7"/>
    <x v="0"/>
    <x v="65"/>
    <x v="2"/>
    <x v="17"/>
    <x v="1"/>
    <n v="1285"/>
    <n v="212963.05"/>
  </r>
  <r>
    <n v="276"/>
    <n v="195177543"/>
    <x v="4"/>
    <x v="0"/>
    <x v="12"/>
    <x v="0"/>
    <x v="19"/>
    <x v="1"/>
    <n v="6227"/>
    <n v="15007.07"/>
  </r>
  <r>
    <n v="277"/>
    <n v="861601769"/>
    <x v="3"/>
    <x v="1"/>
    <x v="66"/>
    <x v="0"/>
    <x v="26"/>
    <x v="1"/>
    <n v="5965"/>
    <n v="528439.35"/>
  </r>
  <r>
    <n v="278"/>
    <n v="807281672"/>
    <x v="11"/>
    <x v="1"/>
    <x v="79"/>
    <x v="0"/>
    <x v="5"/>
    <x v="4"/>
    <n v="1441"/>
    <n v="82425.2"/>
  </r>
  <r>
    <n v="279"/>
    <n v="661953580"/>
    <x v="5"/>
    <x v="0"/>
    <x v="33"/>
    <x v="3"/>
    <x v="24"/>
    <x v="3"/>
    <n v="5629"/>
    <n v="413393.76"/>
  </r>
  <r>
    <n v="280"/>
    <n v="225666320"/>
    <x v="0"/>
    <x v="1"/>
    <x v="60"/>
    <x v="2"/>
    <x v="10"/>
    <x v="3"/>
    <n v="8534"/>
    <n v="1483806.58"/>
  </r>
  <r>
    <n v="281"/>
    <n v="718781220"/>
    <x v="7"/>
    <x v="0"/>
    <x v="13"/>
    <x v="3"/>
    <x v="9"/>
    <x v="2"/>
    <n v="2191"/>
    <n v="363114.43"/>
  </r>
  <r>
    <n v="282"/>
    <n v="731972110"/>
    <x v="8"/>
    <x v="1"/>
    <x v="11"/>
    <x v="3"/>
    <x v="11"/>
    <x v="1"/>
    <n v="5668"/>
    <n v="715585"/>
  </r>
  <r>
    <n v="283"/>
    <n v="276225316"/>
    <x v="1"/>
    <x v="1"/>
    <x v="8"/>
    <x v="3"/>
    <x v="24"/>
    <x v="3"/>
    <n v="64"/>
    <n v="4040.32"/>
  </r>
  <r>
    <n v="284"/>
    <n v="332839667"/>
    <x v="8"/>
    <x v="0"/>
    <x v="60"/>
    <x v="2"/>
    <x v="8"/>
    <x v="0"/>
    <n v="3509"/>
    <n v="443011.25"/>
  </r>
  <r>
    <n v="285"/>
    <n v="603426492"/>
    <x v="1"/>
    <x v="1"/>
    <x v="46"/>
    <x v="1"/>
    <x v="15"/>
    <x v="0"/>
    <n v="6163"/>
    <n v="389070.19"/>
  </r>
  <r>
    <n v="286"/>
    <n v="859909617"/>
    <x v="9"/>
    <x v="0"/>
    <x v="62"/>
    <x v="0"/>
    <x v="2"/>
    <x v="2"/>
    <n v="5220"/>
    <n v="81745.2"/>
  </r>
  <r>
    <n v="287"/>
    <n v="494525372"/>
    <x v="7"/>
    <x v="1"/>
    <x v="11"/>
    <x v="3"/>
    <x v="22"/>
    <x v="1"/>
    <n v="9902"/>
    <n v="1641058.46"/>
  </r>
  <r>
    <n v="288"/>
    <n v="769822585"/>
    <x v="1"/>
    <x v="1"/>
    <x v="15"/>
    <x v="1"/>
    <x v="2"/>
    <x v="2"/>
    <n v="6465"/>
    <n v="408135.45"/>
  </r>
  <r>
    <n v="289"/>
    <n v="768662583"/>
    <x v="1"/>
    <x v="0"/>
    <x v="16"/>
    <x v="2"/>
    <x v="15"/>
    <x v="0"/>
    <n v="3195"/>
    <n v="201700.35"/>
  </r>
  <r>
    <n v="290"/>
    <n v="544219195"/>
    <x v="3"/>
    <x v="1"/>
    <x v="54"/>
    <x v="3"/>
    <x v="8"/>
    <x v="0"/>
    <n v="5409"/>
    <n v="479183.31"/>
  </r>
  <r>
    <n v="291"/>
    <n v="669978749"/>
    <x v="9"/>
    <x v="0"/>
    <x v="21"/>
    <x v="3"/>
    <x v="9"/>
    <x v="2"/>
    <n v="455"/>
    <n v="7125.3"/>
  </r>
  <r>
    <n v="292"/>
    <n v="889740073"/>
    <x v="0"/>
    <x v="0"/>
    <x v="8"/>
    <x v="3"/>
    <x v="14"/>
    <x v="3"/>
    <n v="2715"/>
    <n v="472057.05"/>
  </r>
  <r>
    <n v="293"/>
    <n v="567614495"/>
    <x v="9"/>
    <x v="1"/>
    <x v="7"/>
    <x v="1"/>
    <x v="6"/>
    <x v="2"/>
    <n v="8598"/>
    <n v="134644.68"/>
  </r>
  <r>
    <n v="294"/>
    <n v="938025844"/>
    <x v="1"/>
    <x v="0"/>
    <x v="10"/>
    <x v="0"/>
    <x v="17"/>
    <x v="1"/>
    <n v="1547"/>
    <n v="97662.11"/>
  </r>
  <r>
    <n v="295"/>
    <n v="155710446"/>
    <x v="1"/>
    <x v="1"/>
    <x v="52"/>
    <x v="3"/>
    <x v="16"/>
    <x v="4"/>
    <n v="7036"/>
    <n v="444182.68"/>
  </r>
  <r>
    <n v="296"/>
    <n v="945717132"/>
    <x v="2"/>
    <x v="1"/>
    <x v="24"/>
    <x v="3"/>
    <x v="22"/>
    <x v="1"/>
    <n v="7570"/>
    <n v="725660.2"/>
  </r>
  <r>
    <n v="297"/>
    <n v="253407227"/>
    <x v="0"/>
    <x v="0"/>
    <x v="73"/>
    <x v="3"/>
    <x v="19"/>
    <x v="1"/>
    <n v="7685"/>
    <n v="1336190.95"/>
  </r>
  <r>
    <n v="298"/>
    <n v="494454562"/>
    <x v="7"/>
    <x v="0"/>
    <x v="17"/>
    <x v="2"/>
    <x v="2"/>
    <x v="2"/>
    <n v="8948"/>
    <n v="1482952.04"/>
  </r>
  <r>
    <n v="299"/>
    <n v="104845464"/>
    <x v="3"/>
    <x v="1"/>
    <x v="67"/>
    <x v="1"/>
    <x v="8"/>
    <x v="0"/>
    <n v="4957"/>
    <n v="439140.63"/>
  </r>
  <r>
    <n v="300"/>
    <n v="290878760"/>
    <x v="0"/>
    <x v="1"/>
    <x v="29"/>
    <x v="1"/>
    <x v="7"/>
    <x v="3"/>
    <n v="6344"/>
    <n v="1103031.28"/>
  </r>
  <r>
    <n v="301"/>
    <n v="979165780"/>
    <x v="8"/>
    <x v="0"/>
    <x v="61"/>
    <x v="3"/>
    <x v="6"/>
    <x v="2"/>
    <n v="5768"/>
    <n v="728210"/>
  </r>
  <r>
    <n v="302"/>
    <n v="366630351"/>
    <x v="8"/>
    <x v="0"/>
    <x v="30"/>
    <x v="2"/>
    <x v="24"/>
    <x v="3"/>
    <n v="2923"/>
    <n v="369028.75"/>
  </r>
  <r>
    <n v="303"/>
    <n v="770508801"/>
    <x v="8"/>
    <x v="1"/>
    <x v="50"/>
    <x v="1"/>
    <x v="12"/>
    <x v="4"/>
    <n v="9532"/>
    <n v="1203415"/>
  </r>
  <r>
    <n v="304"/>
    <n v="978349959"/>
    <x v="9"/>
    <x v="0"/>
    <x v="47"/>
    <x v="1"/>
    <x v="2"/>
    <x v="2"/>
    <n v="4349"/>
    <n v="68105.34"/>
  </r>
  <r>
    <n v="305"/>
    <n v="298015153"/>
    <x v="9"/>
    <x v="0"/>
    <x v="65"/>
    <x v="2"/>
    <x v="27"/>
    <x v="3"/>
    <n v="8161"/>
    <n v="127801.26"/>
  </r>
  <r>
    <n v="306"/>
    <n v="807678210"/>
    <x v="6"/>
    <x v="1"/>
    <x v="30"/>
    <x v="2"/>
    <x v="7"/>
    <x v="3"/>
    <n v="8786"/>
    <n v="484460.04"/>
  </r>
  <r>
    <n v="307"/>
    <n v="605825459"/>
    <x v="10"/>
    <x v="0"/>
    <x v="47"/>
    <x v="1"/>
    <x v="5"/>
    <x v="4"/>
    <n v="6071"/>
    <n v="152139.26"/>
  </r>
  <r>
    <n v="308"/>
    <n v="561255729"/>
    <x v="4"/>
    <x v="1"/>
    <x v="25"/>
    <x v="3"/>
    <x v="25"/>
    <x v="2"/>
    <n v="6897"/>
    <n v="16621.77"/>
  </r>
  <r>
    <n v="309"/>
    <n v="263080346"/>
    <x v="5"/>
    <x v="1"/>
    <x v="9"/>
    <x v="0"/>
    <x v="21"/>
    <x v="2"/>
    <n v="175"/>
    <n v="12852"/>
  </r>
  <r>
    <n v="310"/>
    <n v="270723140"/>
    <x v="3"/>
    <x v="0"/>
    <x v="61"/>
    <x v="3"/>
    <x v="21"/>
    <x v="2"/>
    <n v="1848"/>
    <n v="163714.32"/>
  </r>
  <r>
    <n v="311"/>
    <n v="763920438"/>
    <x v="5"/>
    <x v="0"/>
    <x v="26"/>
    <x v="1"/>
    <x v="0"/>
    <x v="0"/>
    <n v="9888"/>
    <n v="726174.71999999997"/>
  </r>
  <r>
    <n v="312"/>
    <n v="192721068"/>
    <x v="7"/>
    <x v="1"/>
    <x v="29"/>
    <x v="1"/>
    <x v="1"/>
    <x v="1"/>
    <n v="9302"/>
    <n v="1541620.46"/>
  </r>
  <r>
    <n v="313"/>
    <n v="227486360"/>
    <x v="4"/>
    <x v="0"/>
    <x v="50"/>
    <x v="1"/>
    <x v="0"/>
    <x v="0"/>
    <n v="7124"/>
    <n v="17168.84"/>
  </r>
  <r>
    <n v="314"/>
    <n v="808890140"/>
    <x v="1"/>
    <x v="1"/>
    <x v="18"/>
    <x v="2"/>
    <x v="6"/>
    <x v="2"/>
    <n v="7422"/>
    <n v="468550.86"/>
  </r>
  <r>
    <n v="315"/>
    <n v="597918736"/>
    <x v="0"/>
    <x v="0"/>
    <x v="84"/>
    <x v="2"/>
    <x v="9"/>
    <x v="2"/>
    <n v="6296"/>
    <n v="1094685.52"/>
  </r>
  <r>
    <n v="316"/>
    <n v="125870978"/>
    <x v="0"/>
    <x v="1"/>
    <x v="0"/>
    <x v="0"/>
    <x v="3"/>
    <x v="2"/>
    <n v="6874"/>
    <n v="1195182.3799999999"/>
  </r>
  <r>
    <n v="317"/>
    <n v="444358193"/>
    <x v="7"/>
    <x v="1"/>
    <x v="32"/>
    <x v="0"/>
    <x v="21"/>
    <x v="2"/>
    <n v="4319"/>
    <n v="715787.87"/>
  </r>
  <r>
    <n v="318"/>
    <n v="875304210"/>
    <x v="9"/>
    <x v="1"/>
    <x v="73"/>
    <x v="3"/>
    <x v="25"/>
    <x v="2"/>
    <n v="822"/>
    <n v="12872.52"/>
  </r>
  <r>
    <n v="319"/>
    <n v="360945355"/>
    <x v="2"/>
    <x v="0"/>
    <x v="76"/>
    <x v="2"/>
    <x v="13"/>
    <x v="3"/>
    <n v="607"/>
    <n v="58187.02"/>
  </r>
  <r>
    <n v="320"/>
    <n v="613830459"/>
    <x v="3"/>
    <x v="0"/>
    <x v="41"/>
    <x v="0"/>
    <x v="16"/>
    <x v="4"/>
    <n v="4928"/>
    <n v="436571.52"/>
  </r>
  <r>
    <n v="321"/>
    <n v="266820847"/>
    <x v="3"/>
    <x v="0"/>
    <x v="71"/>
    <x v="0"/>
    <x v="19"/>
    <x v="1"/>
    <n v="7073"/>
    <n v="626597.06999999995"/>
  </r>
  <r>
    <n v="322"/>
    <n v="723090350"/>
    <x v="2"/>
    <x v="0"/>
    <x v="5"/>
    <x v="0"/>
    <x v="21"/>
    <x v="2"/>
    <n v="7358"/>
    <n v="705337.88"/>
  </r>
  <r>
    <n v="323"/>
    <n v="306125295"/>
    <x v="11"/>
    <x v="0"/>
    <x v="36"/>
    <x v="2"/>
    <x v="21"/>
    <x v="2"/>
    <n v="8132"/>
    <n v="465150.4"/>
  </r>
  <r>
    <n v="324"/>
    <n v="109724509"/>
    <x v="10"/>
    <x v="1"/>
    <x v="7"/>
    <x v="1"/>
    <x v="22"/>
    <x v="1"/>
    <n v="8775"/>
    <n v="219901.5"/>
  </r>
  <r>
    <n v="325"/>
    <n v="847999322"/>
    <x v="5"/>
    <x v="0"/>
    <x v="84"/>
    <x v="2"/>
    <x v="10"/>
    <x v="3"/>
    <n v="699"/>
    <n v="51334.559999999998"/>
  </r>
  <r>
    <n v="326"/>
    <n v="605373561"/>
    <x v="5"/>
    <x v="1"/>
    <x v="52"/>
    <x v="3"/>
    <x v="22"/>
    <x v="1"/>
    <n v="2344"/>
    <n v="172143.35999999999"/>
  </r>
  <r>
    <n v="327"/>
    <n v="686583554"/>
    <x v="9"/>
    <x v="1"/>
    <x v="24"/>
    <x v="3"/>
    <x v="1"/>
    <x v="1"/>
    <n v="4186"/>
    <n v="65552.759999999995"/>
  </r>
  <r>
    <n v="328"/>
    <n v="666678130"/>
    <x v="9"/>
    <x v="0"/>
    <x v="40"/>
    <x v="2"/>
    <x v="13"/>
    <x v="3"/>
    <n v="3729"/>
    <n v="58396.14"/>
  </r>
  <r>
    <n v="329"/>
    <n v="641018617"/>
    <x v="2"/>
    <x v="1"/>
    <x v="48"/>
    <x v="1"/>
    <x v="25"/>
    <x v="2"/>
    <n v="508"/>
    <n v="48696.88"/>
  </r>
  <r>
    <n v="330"/>
    <n v="775278842"/>
    <x v="11"/>
    <x v="1"/>
    <x v="4"/>
    <x v="2"/>
    <x v="3"/>
    <x v="2"/>
    <n v="1093"/>
    <n v="62519.6"/>
  </r>
  <r>
    <n v="331"/>
    <n v="855445134"/>
    <x v="11"/>
    <x v="0"/>
    <x v="2"/>
    <x v="0"/>
    <x v="3"/>
    <x v="2"/>
    <n v="4080"/>
    <n v="233376"/>
  </r>
  <r>
    <n v="332"/>
    <n v="737816321"/>
    <x v="1"/>
    <x v="1"/>
    <x v="30"/>
    <x v="2"/>
    <x v="4"/>
    <x v="3"/>
    <n v="5100"/>
    <n v="321963"/>
  </r>
  <r>
    <n v="333"/>
    <n v="799003732"/>
    <x v="9"/>
    <x v="1"/>
    <x v="78"/>
    <x v="2"/>
    <x v="21"/>
    <x v="2"/>
    <n v="1815"/>
    <n v="28422.9"/>
  </r>
  <r>
    <n v="334"/>
    <n v="585931193"/>
    <x v="1"/>
    <x v="1"/>
    <x v="22"/>
    <x v="0"/>
    <x v="15"/>
    <x v="0"/>
    <n v="8916"/>
    <n v="562867.07999999996"/>
  </r>
  <r>
    <n v="335"/>
    <n v="165835034"/>
    <x v="1"/>
    <x v="1"/>
    <x v="24"/>
    <x v="3"/>
    <x v="27"/>
    <x v="3"/>
    <n v="3127"/>
    <n v="197407.51"/>
  </r>
  <r>
    <n v="336"/>
    <n v="576264083"/>
    <x v="2"/>
    <x v="0"/>
    <x v="87"/>
    <x v="3"/>
    <x v="14"/>
    <x v="3"/>
    <n v="8203"/>
    <n v="786339.58"/>
  </r>
  <r>
    <n v="337"/>
    <n v="675079667"/>
    <x v="5"/>
    <x v="0"/>
    <x v="8"/>
    <x v="3"/>
    <x v="10"/>
    <x v="3"/>
    <n v="9930"/>
    <n v="729259.2"/>
  </r>
  <r>
    <n v="338"/>
    <n v="290455615"/>
    <x v="10"/>
    <x v="1"/>
    <x v="7"/>
    <x v="1"/>
    <x v="20"/>
    <x v="3"/>
    <n v="1126"/>
    <n v="28217.56"/>
  </r>
  <r>
    <n v="339"/>
    <n v="670878255"/>
    <x v="6"/>
    <x v="0"/>
    <x v="24"/>
    <x v="3"/>
    <x v="9"/>
    <x v="2"/>
    <n v="6639"/>
    <n v="366074.46"/>
  </r>
  <r>
    <n v="340"/>
    <n v="435146415"/>
    <x v="3"/>
    <x v="1"/>
    <x v="77"/>
    <x v="2"/>
    <x v="2"/>
    <x v="2"/>
    <n v="8349"/>
    <n v="739637.91"/>
  </r>
  <r>
    <n v="341"/>
    <n v="522371423"/>
    <x v="6"/>
    <x v="1"/>
    <x v="57"/>
    <x v="3"/>
    <x v="1"/>
    <x v="1"/>
    <n v="167"/>
    <n v="9208.3799999999992"/>
  </r>
  <r>
    <n v="342"/>
    <n v="141977107"/>
    <x v="8"/>
    <x v="1"/>
    <x v="57"/>
    <x v="3"/>
    <x v="15"/>
    <x v="0"/>
    <n v="3036"/>
    <n v="383295"/>
  </r>
  <r>
    <n v="343"/>
    <n v="823699796"/>
    <x v="2"/>
    <x v="0"/>
    <x v="82"/>
    <x v="3"/>
    <x v="2"/>
    <x v="2"/>
    <n v="9929"/>
    <n v="951793.94"/>
  </r>
  <r>
    <n v="344"/>
    <n v="567588317"/>
    <x v="9"/>
    <x v="0"/>
    <x v="10"/>
    <x v="0"/>
    <x v="27"/>
    <x v="3"/>
    <n v="851"/>
    <n v="13326.66"/>
  </r>
  <r>
    <n v="345"/>
    <n v="594003999"/>
    <x v="4"/>
    <x v="0"/>
    <x v="37"/>
    <x v="0"/>
    <x v="15"/>
    <x v="0"/>
    <n v="7838"/>
    <n v="18889.580000000002"/>
  </r>
  <r>
    <n v="346"/>
    <n v="393620669"/>
    <x v="2"/>
    <x v="0"/>
    <x v="69"/>
    <x v="1"/>
    <x v="27"/>
    <x v="3"/>
    <n v="9958"/>
    <n v="954573.88"/>
  </r>
  <r>
    <n v="347"/>
    <n v="877424657"/>
    <x v="0"/>
    <x v="0"/>
    <x v="82"/>
    <x v="3"/>
    <x v="1"/>
    <x v="1"/>
    <n v="8309"/>
    <n v="1444685.83"/>
  </r>
  <r>
    <n v="348"/>
    <n v="326714789"/>
    <x v="7"/>
    <x v="0"/>
    <x v="41"/>
    <x v="0"/>
    <x v="25"/>
    <x v="2"/>
    <n v="1021"/>
    <n v="169210.33"/>
  </r>
  <r>
    <n v="349"/>
    <n v="243102395"/>
    <x v="4"/>
    <x v="0"/>
    <x v="47"/>
    <x v="1"/>
    <x v="9"/>
    <x v="2"/>
    <n v="8256"/>
    <n v="19896.96"/>
  </r>
  <r>
    <n v="350"/>
    <n v="398511302"/>
    <x v="7"/>
    <x v="0"/>
    <x v="57"/>
    <x v="3"/>
    <x v="27"/>
    <x v="3"/>
    <n v="7205"/>
    <n v="1194084.6499999999"/>
  </r>
  <r>
    <n v="351"/>
    <n v="185177838"/>
    <x v="10"/>
    <x v="0"/>
    <x v="69"/>
    <x v="1"/>
    <x v="25"/>
    <x v="2"/>
    <n v="7092"/>
    <n v="177725.52"/>
  </r>
  <r>
    <n v="352"/>
    <n v="865650832"/>
    <x v="10"/>
    <x v="0"/>
    <x v="64"/>
    <x v="0"/>
    <x v="21"/>
    <x v="2"/>
    <n v="4173"/>
    <n v="104575.38"/>
  </r>
  <r>
    <n v="353"/>
    <n v="622791612"/>
    <x v="3"/>
    <x v="0"/>
    <x v="68"/>
    <x v="1"/>
    <x v="21"/>
    <x v="2"/>
    <n v="6733"/>
    <n v="596476.47"/>
  </r>
  <r>
    <n v="354"/>
    <n v="409774005"/>
    <x v="10"/>
    <x v="1"/>
    <x v="42"/>
    <x v="0"/>
    <x v="26"/>
    <x v="1"/>
    <n v="89"/>
    <n v="2230.34"/>
  </r>
  <r>
    <n v="355"/>
    <n v="800084340"/>
    <x v="8"/>
    <x v="1"/>
    <x v="82"/>
    <x v="3"/>
    <x v="1"/>
    <x v="1"/>
    <n v="1591"/>
    <n v="200863.75"/>
  </r>
  <r>
    <n v="356"/>
    <n v="637521445"/>
    <x v="6"/>
    <x v="0"/>
    <x v="36"/>
    <x v="2"/>
    <x v="14"/>
    <x v="3"/>
    <n v="5618"/>
    <n v="309776.52"/>
  </r>
  <r>
    <n v="357"/>
    <n v="186196649"/>
    <x v="9"/>
    <x v="1"/>
    <x v="70"/>
    <x v="1"/>
    <x v="25"/>
    <x v="2"/>
    <n v="8581"/>
    <n v="134378.46"/>
  </r>
  <r>
    <n v="358"/>
    <n v="680533778"/>
    <x v="2"/>
    <x v="0"/>
    <x v="76"/>
    <x v="2"/>
    <x v="7"/>
    <x v="3"/>
    <n v="3923"/>
    <n v="376058.78"/>
  </r>
  <r>
    <n v="359"/>
    <n v="275269162"/>
    <x v="9"/>
    <x v="1"/>
    <x v="17"/>
    <x v="2"/>
    <x v="18"/>
    <x v="2"/>
    <n v="7117"/>
    <n v="111452.22"/>
  </r>
  <r>
    <n v="360"/>
    <n v="795451629"/>
    <x v="7"/>
    <x v="1"/>
    <x v="27"/>
    <x v="1"/>
    <x v="2"/>
    <x v="2"/>
    <n v="668"/>
    <n v="110707.64"/>
  </r>
  <r>
    <n v="361"/>
    <n v="986442506"/>
    <x v="3"/>
    <x v="0"/>
    <x v="9"/>
    <x v="0"/>
    <x v="16"/>
    <x v="4"/>
    <n v="9113"/>
    <n v="807320.67"/>
  </r>
  <r>
    <n v="362"/>
    <n v="563915622"/>
    <x v="3"/>
    <x v="0"/>
    <x v="7"/>
    <x v="1"/>
    <x v="25"/>
    <x v="2"/>
    <n v="4019"/>
    <n v="356043.21"/>
  </r>
  <r>
    <n v="363"/>
    <n v="663857305"/>
    <x v="0"/>
    <x v="0"/>
    <x v="32"/>
    <x v="0"/>
    <x v="8"/>
    <x v="0"/>
    <n v="8984"/>
    <n v="1562048.08"/>
  </r>
  <r>
    <n v="364"/>
    <n v="692566382"/>
    <x v="4"/>
    <x v="1"/>
    <x v="13"/>
    <x v="3"/>
    <x v="21"/>
    <x v="2"/>
    <n v="4638"/>
    <n v="11177.58"/>
  </r>
  <r>
    <n v="365"/>
    <n v="576654183"/>
    <x v="7"/>
    <x v="0"/>
    <x v="73"/>
    <x v="3"/>
    <x v="7"/>
    <x v="3"/>
    <n v="3642"/>
    <n v="603588.66"/>
  </r>
  <r>
    <n v="366"/>
    <n v="313044536"/>
    <x v="2"/>
    <x v="0"/>
    <x v="33"/>
    <x v="3"/>
    <x v="25"/>
    <x v="2"/>
    <n v="5689"/>
    <n v="545347.54"/>
  </r>
  <r>
    <n v="367"/>
    <n v="418973767"/>
    <x v="10"/>
    <x v="0"/>
    <x v="22"/>
    <x v="0"/>
    <x v="1"/>
    <x v="1"/>
    <n v="2503"/>
    <n v="62725.18"/>
  </r>
  <r>
    <n v="368"/>
    <n v="581990706"/>
    <x v="9"/>
    <x v="1"/>
    <x v="0"/>
    <x v="0"/>
    <x v="28"/>
    <x v="2"/>
    <n v="2838"/>
    <n v="44443.08"/>
  </r>
  <r>
    <n v="369"/>
    <n v="109956681"/>
    <x v="2"/>
    <x v="1"/>
    <x v="84"/>
    <x v="2"/>
    <x v="13"/>
    <x v="3"/>
    <n v="7480"/>
    <n v="717032.8"/>
  </r>
  <r>
    <n v="370"/>
    <n v="181045520"/>
    <x v="3"/>
    <x v="1"/>
    <x v="31"/>
    <x v="1"/>
    <x v="7"/>
    <x v="3"/>
    <n v="4247"/>
    <n v="376241.73"/>
  </r>
  <r>
    <n v="371"/>
    <n v="693743550"/>
    <x v="1"/>
    <x v="1"/>
    <x v="42"/>
    <x v="0"/>
    <x v="24"/>
    <x v="3"/>
    <n v="2988"/>
    <n v="188632.44"/>
  </r>
  <r>
    <n v="372"/>
    <n v="716849601"/>
    <x v="5"/>
    <x v="0"/>
    <x v="80"/>
    <x v="0"/>
    <x v="26"/>
    <x v="1"/>
    <n v="582"/>
    <n v="42742.080000000002"/>
  </r>
  <r>
    <n v="373"/>
    <n v="739474999"/>
    <x v="0"/>
    <x v="1"/>
    <x v="62"/>
    <x v="0"/>
    <x v="12"/>
    <x v="4"/>
    <n v="5940"/>
    <n v="1032787.8"/>
  </r>
  <r>
    <n v="374"/>
    <n v="421043574"/>
    <x v="10"/>
    <x v="1"/>
    <x v="34"/>
    <x v="2"/>
    <x v="25"/>
    <x v="2"/>
    <n v="5005"/>
    <n v="125425.3"/>
  </r>
  <r>
    <n v="375"/>
    <n v="841291654"/>
    <x v="10"/>
    <x v="1"/>
    <x v="54"/>
    <x v="3"/>
    <x v="6"/>
    <x v="2"/>
    <n v="5751"/>
    <n v="144120.06"/>
  </r>
  <r>
    <n v="376"/>
    <n v="450268065"/>
    <x v="3"/>
    <x v="0"/>
    <x v="9"/>
    <x v="0"/>
    <x v="18"/>
    <x v="2"/>
    <n v="3181"/>
    <n v="281804.78999999998"/>
  </r>
  <r>
    <n v="377"/>
    <n v="918334138"/>
    <x v="11"/>
    <x v="1"/>
    <x v="7"/>
    <x v="1"/>
    <x v="4"/>
    <x v="3"/>
    <n v="4334"/>
    <n v="247904.8"/>
  </r>
  <r>
    <n v="378"/>
    <n v="386163699"/>
    <x v="11"/>
    <x v="0"/>
    <x v="58"/>
    <x v="3"/>
    <x v="9"/>
    <x v="2"/>
    <n v="3275"/>
    <n v="187330"/>
  </r>
  <r>
    <n v="379"/>
    <n v="214743077"/>
    <x v="10"/>
    <x v="0"/>
    <x v="23"/>
    <x v="3"/>
    <x v="14"/>
    <x v="3"/>
    <n v="6103"/>
    <n v="152941.18"/>
  </r>
  <r>
    <n v="380"/>
    <n v="935371100"/>
    <x v="2"/>
    <x v="1"/>
    <x v="27"/>
    <x v="1"/>
    <x v="15"/>
    <x v="0"/>
    <n v="5949"/>
    <n v="570271.14"/>
  </r>
  <r>
    <n v="381"/>
    <n v="899659097"/>
    <x v="0"/>
    <x v="0"/>
    <x v="71"/>
    <x v="0"/>
    <x v="0"/>
    <x v="0"/>
    <n v="7974"/>
    <n v="1386439.38"/>
  </r>
  <r>
    <n v="382"/>
    <n v="329530894"/>
    <x v="1"/>
    <x v="1"/>
    <x v="55"/>
    <x v="3"/>
    <x v="1"/>
    <x v="1"/>
    <n v="4369"/>
    <n v="275814.96999999997"/>
  </r>
  <r>
    <n v="383"/>
    <n v="867222821"/>
    <x v="11"/>
    <x v="1"/>
    <x v="25"/>
    <x v="3"/>
    <x v="9"/>
    <x v="2"/>
    <n v="9359"/>
    <n v="535334.80000000005"/>
  </r>
  <r>
    <n v="384"/>
    <n v="625283706"/>
    <x v="9"/>
    <x v="1"/>
    <x v="0"/>
    <x v="0"/>
    <x v="20"/>
    <x v="3"/>
    <n v="4199"/>
    <n v="65756.34"/>
  </r>
  <r>
    <n v="385"/>
    <n v="936574876"/>
    <x v="8"/>
    <x v="0"/>
    <x v="9"/>
    <x v="0"/>
    <x v="3"/>
    <x v="2"/>
    <n v="2173"/>
    <n v="274341.25"/>
  </r>
  <r>
    <n v="386"/>
    <n v="504270160"/>
    <x v="3"/>
    <x v="0"/>
    <x v="66"/>
    <x v="0"/>
    <x v="9"/>
    <x v="2"/>
    <n v="3601"/>
    <n v="319012.59000000003"/>
  </r>
  <r>
    <n v="387"/>
    <n v="351855885"/>
    <x v="10"/>
    <x v="0"/>
    <x v="50"/>
    <x v="1"/>
    <x v="1"/>
    <x v="1"/>
    <n v="830"/>
    <n v="20799.8"/>
  </r>
  <r>
    <n v="388"/>
    <n v="673130881"/>
    <x v="6"/>
    <x v="1"/>
    <x v="33"/>
    <x v="3"/>
    <x v="22"/>
    <x v="1"/>
    <n v="3241"/>
    <n v="178708.74"/>
  </r>
  <r>
    <n v="389"/>
    <n v="382206475"/>
    <x v="8"/>
    <x v="0"/>
    <x v="17"/>
    <x v="2"/>
    <x v="28"/>
    <x v="2"/>
    <n v="2244"/>
    <n v="283305"/>
  </r>
  <r>
    <n v="390"/>
    <n v="263506495"/>
    <x v="3"/>
    <x v="1"/>
    <x v="10"/>
    <x v="0"/>
    <x v="9"/>
    <x v="2"/>
    <n v="6283"/>
    <n v="556610.97"/>
  </r>
  <r>
    <n v="391"/>
    <n v="721767270"/>
    <x v="3"/>
    <x v="0"/>
    <x v="26"/>
    <x v="1"/>
    <x v="8"/>
    <x v="0"/>
    <n v="5829"/>
    <n v="516391.11"/>
  </r>
  <r>
    <n v="392"/>
    <n v="432037627"/>
    <x v="0"/>
    <x v="1"/>
    <x v="4"/>
    <x v="2"/>
    <x v="5"/>
    <x v="4"/>
    <n v="8390"/>
    <n v="1458769.3"/>
  </r>
  <r>
    <n v="393"/>
    <n v="389678895"/>
    <x v="11"/>
    <x v="0"/>
    <x v="76"/>
    <x v="2"/>
    <x v="0"/>
    <x v="0"/>
    <n v="3499"/>
    <n v="200142.8"/>
  </r>
  <r>
    <n v="394"/>
    <n v="760364902"/>
    <x v="11"/>
    <x v="1"/>
    <x v="23"/>
    <x v="3"/>
    <x v="5"/>
    <x v="4"/>
    <n v="7726"/>
    <n v="441927.2"/>
  </r>
  <r>
    <n v="395"/>
    <n v="430081975"/>
    <x v="4"/>
    <x v="0"/>
    <x v="42"/>
    <x v="0"/>
    <x v="18"/>
    <x v="2"/>
    <n v="9669"/>
    <n v="23302.29"/>
  </r>
  <r>
    <n v="396"/>
    <n v="155128943"/>
    <x v="2"/>
    <x v="1"/>
    <x v="6"/>
    <x v="3"/>
    <x v="0"/>
    <x v="0"/>
    <n v="4957"/>
    <n v="475178.02"/>
  </r>
  <r>
    <n v="397"/>
    <n v="312117135"/>
    <x v="5"/>
    <x v="0"/>
    <x v="22"/>
    <x v="0"/>
    <x v="28"/>
    <x v="2"/>
    <n v="1251"/>
    <n v="91873.44"/>
  </r>
  <r>
    <n v="398"/>
    <n v="447970378"/>
    <x v="11"/>
    <x v="0"/>
    <x v="78"/>
    <x v="2"/>
    <x v="12"/>
    <x v="4"/>
    <n v="3245"/>
    <n v="185614"/>
  </r>
  <r>
    <n v="399"/>
    <n v="629925000"/>
    <x v="0"/>
    <x v="0"/>
    <x v="36"/>
    <x v="2"/>
    <x v="6"/>
    <x v="2"/>
    <n v="7661"/>
    <n v="1332018.07"/>
  </r>
  <r>
    <n v="400"/>
    <n v="995529830"/>
    <x v="10"/>
    <x v="0"/>
    <x v="64"/>
    <x v="0"/>
    <x v="19"/>
    <x v="1"/>
    <n v="8254"/>
    <n v="206845.24"/>
  </r>
  <r>
    <n v="401"/>
    <n v="402646195"/>
    <x v="8"/>
    <x v="1"/>
    <x v="82"/>
    <x v="3"/>
    <x v="14"/>
    <x v="3"/>
    <n v="812"/>
    <n v="102515"/>
  </r>
  <r>
    <n v="402"/>
    <n v="479447925"/>
    <x v="11"/>
    <x v="0"/>
    <x v="45"/>
    <x v="3"/>
    <x v="22"/>
    <x v="1"/>
    <n v="8150"/>
    <n v="466180"/>
  </r>
  <r>
    <n v="403"/>
    <n v="674421346"/>
    <x v="0"/>
    <x v="0"/>
    <x v="26"/>
    <x v="1"/>
    <x v="19"/>
    <x v="1"/>
    <n v="5118"/>
    <n v="889866.66"/>
  </r>
  <r>
    <n v="404"/>
    <n v="506365287"/>
    <x v="0"/>
    <x v="1"/>
    <x v="29"/>
    <x v="1"/>
    <x v="20"/>
    <x v="3"/>
    <n v="3596"/>
    <n v="625236.52"/>
  </r>
  <r>
    <n v="405"/>
    <n v="914391076"/>
    <x v="5"/>
    <x v="1"/>
    <x v="43"/>
    <x v="1"/>
    <x v="7"/>
    <x v="3"/>
    <n v="7494"/>
    <n v="550359.36"/>
  </r>
  <r>
    <n v="406"/>
    <n v="207922542"/>
    <x v="11"/>
    <x v="1"/>
    <x v="7"/>
    <x v="1"/>
    <x v="26"/>
    <x v="1"/>
    <n v="7755"/>
    <n v="443586"/>
  </r>
  <r>
    <n v="407"/>
    <n v="816696012"/>
    <x v="8"/>
    <x v="0"/>
    <x v="61"/>
    <x v="3"/>
    <x v="3"/>
    <x v="2"/>
    <n v="7353"/>
    <n v="928316.25"/>
  </r>
  <r>
    <n v="408"/>
    <n v="740760314"/>
    <x v="9"/>
    <x v="0"/>
    <x v="72"/>
    <x v="0"/>
    <x v="4"/>
    <x v="3"/>
    <n v="6293"/>
    <n v="98548.38"/>
  </r>
  <r>
    <n v="409"/>
    <n v="300476777"/>
    <x v="2"/>
    <x v="1"/>
    <x v="49"/>
    <x v="3"/>
    <x v="14"/>
    <x v="3"/>
    <n v="6610"/>
    <n v="633634.6"/>
  </r>
  <r>
    <n v="410"/>
    <n v="786519229"/>
    <x v="6"/>
    <x v="1"/>
    <x v="47"/>
    <x v="1"/>
    <x v="0"/>
    <x v="0"/>
    <n v="7373"/>
    <n v="406547.22"/>
  </r>
  <r>
    <n v="411"/>
    <n v="409873998"/>
    <x v="0"/>
    <x v="0"/>
    <x v="31"/>
    <x v="1"/>
    <x v="13"/>
    <x v="3"/>
    <n v="9679"/>
    <n v="1682887.73"/>
  </r>
  <r>
    <n v="412"/>
    <n v="151839911"/>
    <x v="0"/>
    <x v="0"/>
    <x v="3"/>
    <x v="1"/>
    <x v="12"/>
    <x v="4"/>
    <n v="1659"/>
    <n v="288450.33"/>
  </r>
  <r>
    <n v="413"/>
    <n v="614028298"/>
    <x v="1"/>
    <x v="1"/>
    <x v="18"/>
    <x v="2"/>
    <x v="15"/>
    <x v="0"/>
    <n v="3473"/>
    <n v="219250.49"/>
  </r>
  <r>
    <n v="414"/>
    <n v="668362987"/>
    <x v="7"/>
    <x v="0"/>
    <x v="29"/>
    <x v="1"/>
    <x v="8"/>
    <x v="0"/>
    <n v="2315"/>
    <n v="383664.95"/>
  </r>
  <r>
    <n v="415"/>
    <n v="607080304"/>
    <x v="7"/>
    <x v="1"/>
    <x v="73"/>
    <x v="3"/>
    <x v="6"/>
    <x v="2"/>
    <n v="7408"/>
    <n v="1227727.8400000001"/>
  </r>
  <r>
    <n v="416"/>
    <n v="792729079"/>
    <x v="2"/>
    <x v="1"/>
    <x v="81"/>
    <x v="0"/>
    <x v="7"/>
    <x v="3"/>
    <n v="5006"/>
    <n v="479875.16"/>
  </r>
  <r>
    <n v="417"/>
    <n v="308170640"/>
    <x v="2"/>
    <x v="0"/>
    <x v="65"/>
    <x v="2"/>
    <x v="20"/>
    <x v="3"/>
    <n v="3395"/>
    <n v="325444.7"/>
  </r>
  <r>
    <n v="418"/>
    <n v="106578814"/>
    <x v="1"/>
    <x v="1"/>
    <x v="65"/>
    <x v="2"/>
    <x v="28"/>
    <x v="2"/>
    <n v="7894"/>
    <n v="498348.22"/>
  </r>
  <r>
    <n v="419"/>
    <n v="761439931"/>
    <x v="3"/>
    <x v="1"/>
    <x v="58"/>
    <x v="3"/>
    <x v="2"/>
    <x v="2"/>
    <n v="5851"/>
    <n v="518340.09"/>
  </r>
  <r>
    <n v="420"/>
    <n v="216552817"/>
    <x v="7"/>
    <x v="1"/>
    <x v="19"/>
    <x v="2"/>
    <x v="4"/>
    <x v="3"/>
    <n v="1646"/>
    <n v="272791.58"/>
  </r>
  <r>
    <n v="421"/>
    <n v="536028802"/>
    <x v="4"/>
    <x v="1"/>
    <x v="30"/>
    <x v="2"/>
    <x v="25"/>
    <x v="2"/>
    <n v="1689"/>
    <n v="4070.49"/>
  </r>
  <r>
    <n v="422"/>
    <n v="254291713"/>
    <x v="9"/>
    <x v="1"/>
    <x v="36"/>
    <x v="2"/>
    <x v="22"/>
    <x v="1"/>
    <n v="9424"/>
    <n v="147579.84"/>
  </r>
  <r>
    <n v="423"/>
    <n v="226077878"/>
    <x v="10"/>
    <x v="1"/>
    <x v="19"/>
    <x v="2"/>
    <x v="1"/>
    <x v="1"/>
    <n v="323"/>
    <n v="8094.38"/>
  </r>
  <r>
    <n v="424"/>
    <n v="476436126"/>
    <x v="8"/>
    <x v="0"/>
    <x v="4"/>
    <x v="2"/>
    <x v="19"/>
    <x v="1"/>
    <n v="6892"/>
    <n v="870115"/>
  </r>
  <r>
    <n v="425"/>
    <n v="650727784"/>
    <x v="0"/>
    <x v="0"/>
    <x v="38"/>
    <x v="1"/>
    <x v="22"/>
    <x v="1"/>
    <n v="3667"/>
    <n v="637581.29"/>
  </r>
  <r>
    <n v="426"/>
    <n v="464626681"/>
    <x v="7"/>
    <x v="0"/>
    <x v="51"/>
    <x v="2"/>
    <x v="9"/>
    <x v="2"/>
    <n v="2215"/>
    <n v="367091.95"/>
  </r>
  <r>
    <n v="427"/>
    <n v="154119145"/>
    <x v="11"/>
    <x v="0"/>
    <x v="40"/>
    <x v="2"/>
    <x v="23"/>
    <x v="1"/>
    <n v="6135"/>
    <n v="350922"/>
  </r>
  <r>
    <n v="428"/>
    <n v="925504004"/>
    <x v="11"/>
    <x v="1"/>
    <x v="89"/>
    <x v="0"/>
    <x v="1"/>
    <x v="1"/>
    <n v="6057"/>
    <n v="346460.4"/>
  </r>
  <r>
    <n v="429"/>
    <n v="905392587"/>
    <x v="3"/>
    <x v="0"/>
    <x v="16"/>
    <x v="2"/>
    <x v="12"/>
    <x v="4"/>
    <n v="4641"/>
    <n v="411146.19"/>
  </r>
  <r>
    <n v="430"/>
    <n v="990708720"/>
    <x v="6"/>
    <x v="1"/>
    <x v="45"/>
    <x v="3"/>
    <x v="11"/>
    <x v="1"/>
    <n v="1581"/>
    <n v="87176.34"/>
  </r>
  <r>
    <n v="431"/>
    <n v="798688733"/>
    <x v="2"/>
    <x v="1"/>
    <x v="65"/>
    <x v="2"/>
    <x v="19"/>
    <x v="1"/>
    <n v="8600"/>
    <n v="824396"/>
  </r>
  <r>
    <n v="432"/>
    <n v="916881453"/>
    <x v="3"/>
    <x v="0"/>
    <x v="2"/>
    <x v="0"/>
    <x v="25"/>
    <x v="2"/>
    <n v="4452"/>
    <n v="394402.68"/>
  </r>
  <r>
    <n v="433"/>
    <n v="653148210"/>
    <x v="0"/>
    <x v="0"/>
    <x v="41"/>
    <x v="0"/>
    <x v="8"/>
    <x v="0"/>
    <n v="9924"/>
    <n v="1725485.88"/>
  </r>
  <r>
    <n v="434"/>
    <n v="285662829"/>
    <x v="10"/>
    <x v="0"/>
    <x v="14"/>
    <x v="1"/>
    <x v="10"/>
    <x v="3"/>
    <n v="2834"/>
    <n v="71020.039999999994"/>
  </r>
  <r>
    <n v="435"/>
    <n v="612911641"/>
    <x v="1"/>
    <x v="1"/>
    <x v="60"/>
    <x v="2"/>
    <x v="28"/>
    <x v="2"/>
    <n v="3030"/>
    <n v="191283.9"/>
  </r>
  <r>
    <n v="436"/>
    <n v="703693473"/>
    <x v="8"/>
    <x v="0"/>
    <x v="9"/>
    <x v="0"/>
    <x v="27"/>
    <x v="3"/>
    <n v="7391"/>
    <n v="933113.75"/>
  </r>
  <r>
    <n v="437"/>
    <n v="147119653"/>
    <x v="5"/>
    <x v="1"/>
    <x v="16"/>
    <x v="2"/>
    <x v="12"/>
    <x v="4"/>
    <n v="4829"/>
    <n v="354641.76"/>
  </r>
  <r>
    <n v="438"/>
    <n v="402614009"/>
    <x v="4"/>
    <x v="1"/>
    <x v="24"/>
    <x v="3"/>
    <x v="12"/>
    <x v="4"/>
    <n v="1287"/>
    <n v="3101.67"/>
  </r>
  <r>
    <n v="439"/>
    <n v="749912869"/>
    <x v="10"/>
    <x v="1"/>
    <x v="39"/>
    <x v="3"/>
    <x v="26"/>
    <x v="1"/>
    <n v="4738"/>
    <n v="118734.28"/>
  </r>
  <r>
    <n v="440"/>
    <n v="539065062"/>
    <x v="7"/>
    <x v="1"/>
    <x v="61"/>
    <x v="3"/>
    <x v="13"/>
    <x v="3"/>
    <n v="186"/>
    <n v="30825.78"/>
  </r>
  <r>
    <n v="441"/>
    <n v="540431916"/>
    <x v="6"/>
    <x v="0"/>
    <x v="32"/>
    <x v="0"/>
    <x v="9"/>
    <x v="2"/>
    <n v="4668"/>
    <n v="257393.52"/>
  </r>
  <r>
    <n v="442"/>
    <n v="694687259"/>
    <x v="9"/>
    <x v="1"/>
    <x v="15"/>
    <x v="1"/>
    <x v="13"/>
    <x v="3"/>
    <n v="2252"/>
    <n v="35266.32"/>
  </r>
  <r>
    <n v="443"/>
    <n v="562817418"/>
    <x v="0"/>
    <x v="0"/>
    <x v="50"/>
    <x v="1"/>
    <x v="6"/>
    <x v="2"/>
    <n v="9036"/>
    <n v="1571089.32"/>
  </r>
  <r>
    <n v="444"/>
    <n v="676121222"/>
    <x v="3"/>
    <x v="1"/>
    <x v="34"/>
    <x v="2"/>
    <x v="2"/>
    <x v="2"/>
    <n v="8149"/>
    <n v="721919.91"/>
  </r>
  <r>
    <n v="445"/>
    <n v="286210000"/>
    <x v="6"/>
    <x v="0"/>
    <x v="16"/>
    <x v="2"/>
    <x v="1"/>
    <x v="1"/>
    <n v="4754"/>
    <n v="262135.56"/>
  </r>
  <r>
    <n v="446"/>
    <n v="515007579"/>
    <x v="9"/>
    <x v="1"/>
    <x v="79"/>
    <x v="0"/>
    <x v="26"/>
    <x v="1"/>
    <n v="1042"/>
    <n v="16317.72"/>
  </r>
  <r>
    <n v="447"/>
    <n v="304750287"/>
    <x v="0"/>
    <x v="0"/>
    <x v="31"/>
    <x v="1"/>
    <x v="12"/>
    <x v="4"/>
    <n v="1237"/>
    <n v="215077.19"/>
  </r>
  <r>
    <n v="448"/>
    <n v="467986953"/>
    <x v="9"/>
    <x v="1"/>
    <x v="73"/>
    <x v="3"/>
    <x v="17"/>
    <x v="1"/>
    <n v="6594"/>
    <n v="103262.04"/>
  </r>
  <r>
    <n v="449"/>
    <n v="537578904"/>
    <x v="9"/>
    <x v="0"/>
    <x v="27"/>
    <x v="1"/>
    <x v="24"/>
    <x v="3"/>
    <n v="399"/>
    <n v="6248.34"/>
  </r>
  <r>
    <n v="450"/>
    <n v="116699969"/>
    <x v="1"/>
    <x v="0"/>
    <x v="0"/>
    <x v="0"/>
    <x v="12"/>
    <x v="4"/>
    <n v="2969"/>
    <n v="187432.97"/>
  </r>
  <r>
    <n v="451"/>
    <n v="228836476"/>
    <x v="6"/>
    <x v="0"/>
    <x v="52"/>
    <x v="3"/>
    <x v="17"/>
    <x v="1"/>
    <n v="6653"/>
    <n v="366846.42"/>
  </r>
  <r>
    <n v="452"/>
    <n v="167787253"/>
    <x v="1"/>
    <x v="0"/>
    <x v="14"/>
    <x v="1"/>
    <x v="6"/>
    <x v="2"/>
    <n v="832"/>
    <n v="52524.160000000003"/>
  </r>
  <r>
    <n v="453"/>
    <n v="647663629"/>
    <x v="1"/>
    <x v="1"/>
    <x v="35"/>
    <x v="1"/>
    <x v="26"/>
    <x v="1"/>
    <n v="6915"/>
    <n v="436543.95"/>
  </r>
  <r>
    <n v="454"/>
    <n v="652889430"/>
    <x v="11"/>
    <x v="0"/>
    <x v="6"/>
    <x v="3"/>
    <x v="20"/>
    <x v="3"/>
    <n v="3346"/>
    <n v="191391.2"/>
  </r>
  <r>
    <n v="455"/>
    <n v="588200986"/>
    <x v="8"/>
    <x v="0"/>
    <x v="40"/>
    <x v="2"/>
    <x v="9"/>
    <x v="2"/>
    <n v="598"/>
    <n v="75497.5"/>
  </r>
  <r>
    <n v="456"/>
    <n v="928647124"/>
    <x v="10"/>
    <x v="1"/>
    <x v="40"/>
    <x v="2"/>
    <x v="24"/>
    <x v="3"/>
    <n v="6176"/>
    <n v="154770.56"/>
  </r>
  <r>
    <n v="457"/>
    <n v="869589173"/>
    <x v="0"/>
    <x v="0"/>
    <x v="85"/>
    <x v="3"/>
    <x v="22"/>
    <x v="1"/>
    <n v="9615"/>
    <n v="1671760.05"/>
  </r>
  <r>
    <n v="458"/>
    <n v="576700961"/>
    <x v="7"/>
    <x v="1"/>
    <x v="27"/>
    <x v="1"/>
    <x v="0"/>
    <x v="0"/>
    <n v="7485"/>
    <n v="1240489.05"/>
  </r>
  <r>
    <n v="459"/>
    <n v="735968816"/>
    <x v="3"/>
    <x v="0"/>
    <x v="71"/>
    <x v="0"/>
    <x v="22"/>
    <x v="1"/>
    <n v="8382"/>
    <n v="742561.38"/>
  </r>
  <r>
    <n v="460"/>
    <n v="303691565"/>
    <x v="6"/>
    <x v="0"/>
    <x v="19"/>
    <x v="2"/>
    <x v="0"/>
    <x v="0"/>
    <n v="7938"/>
    <n v="437701.32"/>
  </r>
  <r>
    <n v="461"/>
    <n v="556480538"/>
    <x v="5"/>
    <x v="0"/>
    <x v="67"/>
    <x v="1"/>
    <x v="7"/>
    <x v="3"/>
    <n v="3812"/>
    <n v="279953.28000000003"/>
  </r>
  <r>
    <n v="462"/>
    <n v="141259562"/>
    <x v="9"/>
    <x v="0"/>
    <x v="0"/>
    <x v="0"/>
    <x v="1"/>
    <x v="1"/>
    <n v="698"/>
    <n v="10930.68"/>
  </r>
  <r>
    <n v="463"/>
    <n v="925264966"/>
    <x v="0"/>
    <x v="0"/>
    <x v="63"/>
    <x v="2"/>
    <x v="17"/>
    <x v="1"/>
    <n v="5320"/>
    <n v="924988.4"/>
  </r>
  <r>
    <n v="464"/>
    <n v="346045577"/>
    <x v="8"/>
    <x v="1"/>
    <x v="25"/>
    <x v="3"/>
    <x v="9"/>
    <x v="2"/>
    <n v="1431"/>
    <n v="180663.75"/>
  </r>
  <r>
    <n v="465"/>
    <n v="861462724"/>
    <x v="4"/>
    <x v="0"/>
    <x v="56"/>
    <x v="3"/>
    <x v="10"/>
    <x v="3"/>
    <n v="4818"/>
    <n v="11611.38"/>
  </r>
  <r>
    <n v="466"/>
    <n v="499690234"/>
    <x v="10"/>
    <x v="1"/>
    <x v="16"/>
    <x v="2"/>
    <x v="8"/>
    <x v="0"/>
    <n v="8299"/>
    <n v="207972.94"/>
  </r>
  <r>
    <n v="467"/>
    <n v="509214437"/>
    <x v="5"/>
    <x v="1"/>
    <x v="89"/>
    <x v="0"/>
    <x v="10"/>
    <x v="3"/>
    <n v="6722"/>
    <n v="493663.68"/>
  </r>
  <r>
    <n v="468"/>
    <n v="408834159"/>
    <x v="8"/>
    <x v="1"/>
    <x v="26"/>
    <x v="1"/>
    <x v="20"/>
    <x v="3"/>
    <n v="1968"/>
    <n v="248460"/>
  </r>
  <r>
    <n v="469"/>
    <n v="237660729"/>
    <x v="9"/>
    <x v="0"/>
    <x v="15"/>
    <x v="1"/>
    <x v="9"/>
    <x v="2"/>
    <n v="7946"/>
    <n v="124434.36"/>
  </r>
  <r>
    <n v="470"/>
    <n v="105117976"/>
    <x v="5"/>
    <x v="1"/>
    <x v="40"/>
    <x v="2"/>
    <x v="20"/>
    <x v="3"/>
    <n v="5600"/>
    <n v="411264"/>
  </r>
  <r>
    <n v="471"/>
    <n v="640942227"/>
    <x v="3"/>
    <x v="0"/>
    <x v="67"/>
    <x v="1"/>
    <x v="16"/>
    <x v="4"/>
    <n v="7903"/>
    <n v="700126.77"/>
  </r>
  <r>
    <n v="472"/>
    <n v="745182311"/>
    <x v="0"/>
    <x v="1"/>
    <x v="15"/>
    <x v="1"/>
    <x v="10"/>
    <x v="3"/>
    <n v="4860"/>
    <n v="845008.2"/>
  </r>
  <r>
    <n v="473"/>
    <n v="738199555"/>
    <x v="2"/>
    <x v="0"/>
    <x v="17"/>
    <x v="2"/>
    <x v="18"/>
    <x v="2"/>
    <n v="8508"/>
    <n v="815576.88"/>
  </r>
  <r>
    <n v="474"/>
    <n v="110667788"/>
    <x v="6"/>
    <x v="1"/>
    <x v="40"/>
    <x v="2"/>
    <x v="28"/>
    <x v="2"/>
    <n v="7913"/>
    <n v="436322.82"/>
  </r>
  <r>
    <n v="475"/>
    <n v="673573338"/>
    <x v="8"/>
    <x v="1"/>
    <x v="16"/>
    <x v="2"/>
    <x v="24"/>
    <x v="3"/>
    <n v="4174"/>
    <n v="526967.5"/>
  </r>
  <r>
    <n v="476"/>
    <n v="708215034"/>
    <x v="6"/>
    <x v="0"/>
    <x v="4"/>
    <x v="2"/>
    <x v="4"/>
    <x v="3"/>
    <n v="5421"/>
    <n v="298913.94"/>
  </r>
  <r>
    <n v="477"/>
    <n v="816204202"/>
    <x v="7"/>
    <x v="1"/>
    <x v="67"/>
    <x v="1"/>
    <x v="0"/>
    <x v="0"/>
    <n v="1816"/>
    <n v="300965.68"/>
  </r>
  <r>
    <n v="478"/>
    <n v="769464671"/>
    <x v="9"/>
    <x v="0"/>
    <x v="1"/>
    <x v="0"/>
    <x v="12"/>
    <x v="4"/>
    <n v="550"/>
    <n v="8613"/>
  </r>
  <r>
    <n v="479"/>
    <n v="860232770"/>
    <x v="9"/>
    <x v="0"/>
    <x v="86"/>
    <x v="1"/>
    <x v="10"/>
    <x v="3"/>
    <n v="848"/>
    <n v="13279.68"/>
  </r>
  <r>
    <n v="480"/>
    <n v="551057326"/>
    <x v="10"/>
    <x v="0"/>
    <x v="51"/>
    <x v="2"/>
    <x v="2"/>
    <x v="2"/>
    <n v="8963"/>
    <n v="224612.78"/>
  </r>
  <r>
    <n v="481"/>
    <n v="724799668"/>
    <x v="0"/>
    <x v="1"/>
    <x v="44"/>
    <x v="1"/>
    <x v="13"/>
    <x v="3"/>
    <n v="3183"/>
    <n v="553428.21"/>
  </r>
  <r>
    <n v="482"/>
    <n v="534633624"/>
    <x v="0"/>
    <x v="0"/>
    <x v="70"/>
    <x v="1"/>
    <x v="2"/>
    <x v="2"/>
    <n v="8825"/>
    <n v="1534402.75"/>
  </r>
  <r>
    <n v="483"/>
    <n v="554045522"/>
    <x v="9"/>
    <x v="0"/>
    <x v="18"/>
    <x v="2"/>
    <x v="4"/>
    <x v="3"/>
    <n v="3237"/>
    <n v="50691.42"/>
  </r>
  <r>
    <n v="484"/>
    <n v="526834189"/>
    <x v="5"/>
    <x v="1"/>
    <x v="45"/>
    <x v="3"/>
    <x v="3"/>
    <x v="2"/>
    <n v="799"/>
    <n v="58678.559999999998"/>
  </r>
  <r>
    <n v="485"/>
    <n v="717110955"/>
    <x v="7"/>
    <x v="1"/>
    <x v="20"/>
    <x v="2"/>
    <x v="9"/>
    <x v="2"/>
    <n v="7922"/>
    <n v="1312913.06"/>
  </r>
  <r>
    <n v="486"/>
    <n v="559299647"/>
    <x v="2"/>
    <x v="0"/>
    <x v="73"/>
    <x v="3"/>
    <x v="24"/>
    <x v="3"/>
    <n v="8049"/>
    <n v="771577.14"/>
  </r>
  <r>
    <n v="487"/>
    <n v="908136594"/>
    <x v="11"/>
    <x v="1"/>
    <x v="33"/>
    <x v="3"/>
    <x v="6"/>
    <x v="2"/>
    <n v="6654"/>
    <n v="380608.8"/>
  </r>
  <r>
    <n v="488"/>
    <n v="888670623"/>
    <x v="8"/>
    <x v="0"/>
    <x v="10"/>
    <x v="0"/>
    <x v="27"/>
    <x v="3"/>
    <n v="6240"/>
    <n v="787800"/>
  </r>
  <r>
    <n v="489"/>
    <n v="146263062"/>
    <x v="8"/>
    <x v="0"/>
    <x v="52"/>
    <x v="3"/>
    <x v="22"/>
    <x v="1"/>
    <n v="1345"/>
    <n v="169806.25"/>
  </r>
  <r>
    <n v="490"/>
    <n v="196587741"/>
    <x v="8"/>
    <x v="0"/>
    <x v="88"/>
    <x v="2"/>
    <x v="1"/>
    <x v="1"/>
    <n v="3536"/>
    <n v="446420"/>
  </r>
  <r>
    <n v="491"/>
    <n v="375630986"/>
    <x v="2"/>
    <x v="1"/>
    <x v="3"/>
    <x v="1"/>
    <x v="21"/>
    <x v="2"/>
    <n v="6411"/>
    <n v="614558.46"/>
  </r>
  <r>
    <n v="492"/>
    <n v="989691627"/>
    <x v="9"/>
    <x v="0"/>
    <x v="48"/>
    <x v="1"/>
    <x v="15"/>
    <x v="0"/>
    <n v="600"/>
    <n v="9396"/>
  </r>
  <r>
    <n v="493"/>
    <n v="165380990"/>
    <x v="7"/>
    <x v="0"/>
    <x v="16"/>
    <x v="2"/>
    <x v="11"/>
    <x v="1"/>
    <n v="8765"/>
    <n v="1452623.45"/>
  </r>
  <r>
    <n v="494"/>
    <n v="599622905"/>
    <x v="6"/>
    <x v="1"/>
    <x v="53"/>
    <x v="2"/>
    <x v="20"/>
    <x v="3"/>
    <n v="597"/>
    <n v="32918.58"/>
  </r>
  <r>
    <n v="495"/>
    <n v="109653699"/>
    <x v="10"/>
    <x v="0"/>
    <x v="41"/>
    <x v="0"/>
    <x v="0"/>
    <x v="0"/>
    <n v="7821"/>
    <n v="195994.26"/>
  </r>
  <r>
    <n v="496"/>
    <n v="183022201"/>
    <x v="11"/>
    <x v="0"/>
    <x v="59"/>
    <x v="2"/>
    <x v="13"/>
    <x v="3"/>
    <n v="9191"/>
    <n v="525725.19999999995"/>
  </r>
  <r>
    <n v="497"/>
    <n v="127589738"/>
    <x v="10"/>
    <x v="1"/>
    <x v="33"/>
    <x v="3"/>
    <x v="24"/>
    <x v="3"/>
    <n v="5494"/>
    <n v="137679.64000000001"/>
  </r>
  <r>
    <n v="498"/>
    <n v="221530139"/>
    <x v="4"/>
    <x v="0"/>
    <x v="13"/>
    <x v="3"/>
    <x v="18"/>
    <x v="2"/>
    <n v="4546"/>
    <n v="10955.86"/>
  </r>
  <r>
    <n v="499"/>
    <n v="363329732"/>
    <x v="8"/>
    <x v="0"/>
    <x v="54"/>
    <x v="3"/>
    <x v="28"/>
    <x v="2"/>
    <n v="6197"/>
    <n v="782371.25"/>
  </r>
  <r>
    <n v="500"/>
    <n v="521787345"/>
    <x v="4"/>
    <x v="1"/>
    <x v="90"/>
    <x v="1"/>
    <x v="2"/>
    <x v="2"/>
    <n v="7325"/>
    <n v="17653.25"/>
  </r>
  <r>
    <n v="501"/>
    <n v="286014306"/>
    <x v="11"/>
    <x v="1"/>
    <x v="16"/>
    <x v="2"/>
    <x v="0"/>
    <x v="0"/>
    <n v="6844"/>
    <n v="391476.8"/>
  </r>
  <r>
    <n v="502"/>
    <n v="215434443"/>
    <x v="3"/>
    <x v="0"/>
    <x v="27"/>
    <x v="1"/>
    <x v="1"/>
    <x v="1"/>
    <n v="694"/>
    <n v="61481.46"/>
  </r>
  <r>
    <n v="503"/>
    <n v="489784085"/>
    <x v="6"/>
    <x v="1"/>
    <x v="37"/>
    <x v="0"/>
    <x v="21"/>
    <x v="2"/>
    <n v="6850"/>
    <n v="377709"/>
  </r>
  <r>
    <n v="504"/>
    <n v="459112060"/>
    <x v="8"/>
    <x v="0"/>
    <x v="17"/>
    <x v="2"/>
    <x v="9"/>
    <x v="2"/>
    <n v="316"/>
    <n v="39895"/>
  </r>
  <r>
    <n v="505"/>
    <n v="893779695"/>
    <x v="8"/>
    <x v="1"/>
    <x v="63"/>
    <x v="2"/>
    <x v="3"/>
    <x v="2"/>
    <n v="8128"/>
    <n v="1026160"/>
  </r>
  <r>
    <n v="506"/>
    <n v="834460818"/>
    <x v="11"/>
    <x v="0"/>
    <x v="33"/>
    <x v="3"/>
    <x v="27"/>
    <x v="3"/>
    <n v="4355"/>
    <n v="249106"/>
  </r>
  <r>
    <n v="507"/>
    <n v="742141759"/>
    <x v="9"/>
    <x v="1"/>
    <x v="32"/>
    <x v="0"/>
    <x v="21"/>
    <x v="2"/>
    <n v="5093"/>
    <n v="79756.38"/>
  </r>
  <r>
    <n v="508"/>
    <n v="248121345"/>
    <x v="1"/>
    <x v="0"/>
    <x v="20"/>
    <x v="2"/>
    <x v="22"/>
    <x v="1"/>
    <n v="3475"/>
    <n v="219376.75"/>
  </r>
  <r>
    <n v="509"/>
    <n v="404010903"/>
    <x v="5"/>
    <x v="0"/>
    <x v="16"/>
    <x v="2"/>
    <x v="7"/>
    <x v="3"/>
    <n v="4659"/>
    <n v="342156.96"/>
  </r>
  <r>
    <n v="510"/>
    <n v="531734263"/>
    <x v="7"/>
    <x v="1"/>
    <x v="19"/>
    <x v="2"/>
    <x v="24"/>
    <x v="3"/>
    <n v="840"/>
    <n v="139213.20000000001"/>
  </r>
  <r>
    <n v="511"/>
    <n v="473527753"/>
    <x v="2"/>
    <x v="1"/>
    <x v="71"/>
    <x v="0"/>
    <x v="27"/>
    <x v="3"/>
    <n v="6240"/>
    <n v="598166.4"/>
  </r>
  <r>
    <n v="512"/>
    <n v="141940200"/>
    <x v="3"/>
    <x v="0"/>
    <x v="1"/>
    <x v="0"/>
    <x v="11"/>
    <x v="1"/>
    <n v="2114"/>
    <n v="187279.26"/>
  </r>
  <r>
    <n v="513"/>
    <n v="869832932"/>
    <x v="7"/>
    <x v="0"/>
    <x v="26"/>
    <x v="1"/>
    <x v="3"/>
    <x v="2"/>
    <n v="1749"/>
    <n v="289861.77"/>
  </r>
  <r>
    <n v="514"/>
    <n v="460379779"/>
    <x v="6"/>
    <x v="1"/>
    <x v="59"/>
    <x v="2"/>
    <x v="1"/>
    <x v="1"/>
    <n v="5462"/>
    <n v="301174.68"/>
  </r>
  <r>
    <n v="515"/>
    <n v="837067067"/>
    <x v="1"/>
    <x v="1"/>
    <x v="89"/>
    <x v="0"/>
    <x v="9"/>
    <x v="2"/>
    <n v="5602"/>
    <n v="353654.26"/>
  </r>
  <r>
    <n v="516"/>
    <n v="393693625"/>
    <x v="9"/>
    <x v="1"/>
    <x v="3"/>
    <x v="1"/>
    <x v="19"/>
    <x v="1"/>
    <n v="1547"/>
    <n v="24226.02"/>
  </r>
  <r>
    <n v="517"/>
    <n v="744370782"/>
    <x v="1"/>
    <x v="0"/>
    <x v="76"/>
    <x v="2"/>
    <x v="21"/>
    <x v="2"/>
    <n v="4711"/>
    <n v="297405.43"/>
  </r>
  <r>
    <n v="518"/>
    <n v="873522365"/>
    <x v="0"/>
    <x v="0"/>
    <x v="79"/>
    <x v="0"/>
    <x v="28"/>
    <x v="2"/>
    <n v="3534"/>
    <n v="614456.57999999996"/>
  </r>
  <r>
    <n v="519"/>
    <n v="285884702"/>
    <x v="9"/>
    <x v="1"/>
    <x v="35"/>
    <x v="1"/>
    <x v="4"/>
    <x v="3"/>
    <n v="8491"/>
    <n v="132969.06"/>
  </r>
  <r>
    <n v="520"/>
    <n v="356506621"/>
    <x v="0"/>
    <x v="1"/>
    <x v="18"/>
    <x v="2"/>
    <x v="23"/>
    <x v="1"/>
    <n v="7086"/>
    <n v="1232042.82"/>
  </r>
  <r>
    <n v="521"/>
    <n v="280749452"/>
    <x v="2"/>
    <x v="0"/>
    <x v="20"/>
    <x v="2"/>
    <x v="10"/>
    <x v="3"/>
    <n v="8856"/>
    <n v="848936.16"/>
  </r>
  <r>
    <n v="522"/>
    <n v="224287021"/>
    <x v="2"/>
    <x v="1"/>
    <x v="29"/>
    <x v="1"/>
    <x v="9"/>
    <x v="2"/>
    <n v="368"/>
    <n v="35276.480000000003"/>
  </r>
  <r>
    <n v="523"/>
    <n v="873105657"/>
    <x v="4"/>
    <x v="0"/>
    <x v="27"/>
    <x v="1"/>
    <x v="2"/>
    <x v="2"/>
    <n v="221"/>
    <n v="532.61"/>
  </r>
  <r>
    <n v="524"/>
    <n v="283504188"/>
    <x v="6"/>
    <x v="0"/>
    <x v="20"/>
    <x v="2"/>
    <x v="27"/>
    <x v="3"/>
    <n v="4044"/>
    <n v="222986.16"/>
  </r>
  <r>
    <n v="525"/>
    <n v="632093942"/>
    <x v="9"/>
    <x v="0"/>
    <x v="18"/>
    <x v="2"/>
    <x v="23"/>
    <x v="1"/>
    <n v="9499"/>
    <n v="148754.34"/>
  </r>
  <r>
    <n v="526"/>
    <n v="565798747"/>
    <x v="11"/>
    <x v="0"/>
    <x v="60"/>
    <x v="2"/>
    <x v="20"/>
    <x v="3"/>
    <n v="1277"/>
    <n v="73044.399999999994"/>
  </r>
  <r>
    <n v="527"/>
    <n v="151854932"/>
    <x v="1"/>
    <x v="1"/>
    <x v="30"/>
    <x v="2"/>
    <x v="28"/>
    <x v="2"/>
    <n v="6104"/>
    <n v="385345.52"/>
  </r>
  <r>
    <n v="528"/>
    <n v="427811324"/>
    <x v="1"/>
    <x v="1"/>
    <x v="33"/>
    <x v="3"/>
    <x v="6"/>
    <x v="2"/>
    <n v="7733"/>
    <n v="488184.29"/>
  </r>
  <r>
    <n v="529"/>
    <n v="251529252"/>
    <x v="4"/>
    <x v="1"/>
    <x v="83"/>
    <x v="1"/>
    <x v="11"/>
    <x v="1"/>
    <n v="1950"/>
    <n v="4699.5"/>
  </r>
  <r>
    <n v="530"/>
    <n v="351182544"/>
    <x v="6"/>
    <x v="0"/>
    <x v="68"/>
    <x v="1"/>
    <x v="23"/>
    <x v="1"/>
    <n v="1574"/>
    <n v="86790.36"/>
  </r>
  <r>
    <n v="531"/>
    <n v="175257527"/>
    <x v="11"/>
    <x v="0"/>
    <x v="65"/>
    <x v="2"/>
    <x v="17"/>
    <x v="1"/>
    <n v="1452"/>
    <n v="83054.399999999994"/>
  </r>
  <r>
    <n v="532"/>
    <n v="142553031"/>
    <x v="6"/>
    <x v="1"/>
    <x v="78"/>
    <x v="2"/>
    <x v="14"/>
    <x v="3"/>
    <n v="3465"/>
    <n v="191060.1"/>
  </r>
  <r>
    <n v="533"/>
    <n v="292180383"/>
    <x v="4"/>
    <x v="0"/>
    <x v="60"/>
    <x v="2"/>
    <x v="15"/>
    <x v="0"/>
    <n v="1523"/>
    <n v="3670.43"/>
  </r>
  <r>
    <n v="534"/>
    <n v="733563411"/>
    <x v="4"/>
    <x v="0"/>
    <x v="59"/>
    <x v="2"/>
    <x v="10"/>
    <x v="3"/>
    <n v="6569"/>
    <n v="15831.29"/>
  </r>
  <r>
    <n v="535"/>
    <n v="296438443"/>
    <x v="9"/>
    <x v="1"/>
    <x v="70"/>
    <x v="1"/>
    <x v="8"/>
    <x v="0"/>
    <n v="1578"/>
    <n v="24711.48"/>
  </r>
  <r>
    <n v="536"/>
    <n v="580854308"/>
    <x v="11"/>
    <x v="0"/>
    <x v="52"/>
    <x v="3"/>
    <x v="16"/>
    <x v="4"/>
    <n v="6552"/>
    <n v="374774.4"/>
  </r>
  <r>
    <n v="537"/>
    <n v="107172334"/>
    <x v="0"/>
    <x v="0"/>
    <x v="12"/>
    <x v="0"/>
    <x v="11"/>
    <x v="1"/>
    <n v="3530"/>
    <n v="613761.1"/>
  </r>
  <r>
    <n v="538"/>
    <n v="166066348"/>
    <x v="2"/>
    <x v="0"/>
    <x v="66"/>
    <x v="0"/>
    <x v="17"/>
    <x v="1"/>
    <n v="1578"/>
    <n v="151267.07999999999"/>
  </r>
  <r>
    <n v="539"/>
    <n v="768522679"/>
    <x v="6"/>
    <x v="0"/>
    <x v="6"/>
    <x v="3"/>
    <x v="24"/>
    <x v="3"/>
    <n v="1794"/>
    <n v="98921.16"/>
  </r>
  <r>
    <n v="540"/>
    <n v="195840156"/>
    <x v="7"/>
    <x v="1"/>
    <x v="48"/>
    <x v="1"/>
    <x v="28"/>
    <x v="2"/>
    <n v="2309"/>
    <n v="382670.57"/>
  </r>
  <r>
    <n v="541"/>
    <n v="849630105"/>
    <x v="0"/>
    <x v="0"/>
    <x v="22"/>
    <x v="0"/>
    <x v="27"/>
    <x v="3"/>
    <n v="3284"/>
    <n v="570989.07999999996"/>
  </r>
  <r>
    <n v="542"/>
    <n v="701816356"/>
    <x v="4"/>
    <x v="0"/>
    <x v="74"/>
    <x v="2"/>
    <x v="14"/>
    <x v="3"/>
    <n v="1910"/>
    <n v="4603.1000000000004"/>
  </r>
  <r>
    <n v="543"/>
    <n v="944635236"/>
    <x v="8"/>
    <x v="1"/>
    <x v="14"/>
    <x v="1"/>
    <x v="8"/>
    <x v="0"/>
    <n v="7413"/>
    <n v="935891.25"/>
  </r>
  <r>
    <n v="544"/>
    <n v="140635573"/>
    <x v="1"/>
    <x v="1"/>
    <x v="52"/>
    <x v="3"/>
    <x v="25"/>
    <x v="2"/>
    <n v="6046"/>
    <n v="381683.98"/>
  </r>
  <r>
    <n v="545"/>
    <n v="972678697"/>
    <x v="11"/>
    <x v="1"/>
    <x v="13"/>
    <x v="3"/>
    <x v="27"/>
    <x v="3"/>
    <n v="6096"/>
    <n v="348691.20000000001"/>
  </r>
  <r>
    <n v="546"/>
    <n v="793938434"/>
    <x v="4"/>
    <x v="1"/>
    <x v="25"/>
    <x v="3"/>
    <x v="27"/>
    <x v="3"/>
    <n v="2880"/>
    <n v="6940.8"/>
  </r>
  <r>
    <n v="547"/>
    <n v="177901113"/>
    <x v="2"/>
    <x v="1"/>
    <x v="77"/>
    <x v="2"/>
    <x v="21"/>
    <x v="2"/>
    <n v="3747"/>
    <n v="359187.42"/>
  </r>
  <r>
    <n v="548"/>
    <n v="668365561"/>
    <x v="9"/>
    <x v="1"/>
    <x v="45"/>
    <x v="3"/>
    <x v="23"/>
    <x v="1"/>
    <n v="3077"/>
    <n v="48185.82"/>
  </r>
  <r>
    <n v="549"/>
    <n v="729443109"/>
    <x v="1"/>
    <x v="1"/>
    <x v="80"/>
    <x v="0"/>
    <x v="25"/>
    <x v="2"/>
    <n v="7281"/>
    <n v="459649.53"/>
  </r>
  <r>
    <n v="550"/>
    <n v="695557582"/>
    <x v="4"/>
    <x v="0"/>
    <x v="39"/>
    <x v="3"/>
    <x v="4"/>
    <x v="3"/>
    <n v="9800"/>
    <n v="23618"/>
  </r>
  <r>
    <n v="551"/>
    <n v="521445310"/>
    <x v="7"/>
    <x v="0"/>
    <x v="11"/>
    <x v="3"/>
    <x v="6"/>
    <x v="2"/>
    <n v="6110"/>
    <n v="1012610.3"/>
  </r>
  <r>
    <n v="552"/>
    <n v="232155120"/>
    <x v="10"/>
    <x v="1"/>
    <x v="73"/>
    <x v="3"/>
    <x v="13"/>
    <x v="3"/>
    <n v="8714"/>
    <n v="218372.84"/>
  </r>
  <r>
    <n v="553"/>
    <n v="373048341"/>
    <x v="9"/>
    <x v="1"/>
    <x v="37"/>
    <x v="0"/>
    <x v="5"/>
    <x v="4"/>
    <n v="2149"/>
    <n v="33653.339999999997"/>
  </r>
  <r>
    <n v="554"/>
    <n v="659798800"/>
    <x v="8"/>
    <x v="0"/>
    <x v="89"/>
    <x v="0"/>
    <x v="9"/>
    <x v="2"/>
    <n v="7982"/>
    <n v="1007727.5"/>
  </r>
  <r>
    <n v="555"/>
    <n v="428392827"/>
    <x v="7"/>
    <x v="1"/>
    <x v="73"/>
    <x v="3"/>
    <x v="27"/>
    <x v="3"/>
    <n v="9812"/>
    <n v="1626142.76"/>
  </r>
  <r>
    <n v="556"/>
    <n v="885129249"/>
    <x v="10"/>
    <x v="0"/>
    <x v="4"/>
    <x v="2"/>
    <x v="17"/>
    <x v="1"/>
    <n v="8269"/>
    <n v="207221.14"/>
  </r>
  <r>
    <n v="557"/>
    <n v="156619393"/>
    <x v="11"/>
    <x v="1"/>
    <x v="62"/>
    <x v="0"/>
    <x v="18"/>
    <x v="2"/>
    <n v="6014"/>
    <n v="344000.8"/>
  </r>
  <r>
    <n v="558"/>
    <n v="939787089"/>
    <x v="2"/>
    <x v="0"/>
    <x v="63"/>
    <x v="2"/>
    <x v="21"/>
    <x v="2"/>
    <n v="2739"/>
    <n v="262560.53999999998"/>
  </r>
  <r>
    <n v="559"/>
    <n v="151868665"/>
    <x v="1"/>
    <x v="1"/>
    <x v="45"/>
    <x v="3"/>
    <x v="22"/>
    <x v="1"/>
    <n v="168"/>
    <n v="10605.84"/>
  </r>
  <r>
    <n v="560"/>
    <n v="180412948"/>
    <x v="3"/>
    <x v="0"/>
    <x v="65"/>
    <x v="2"/>
    <x v="15"/>
    <x v="0"/>
    <n v="7055"/>
    <n v="625002.44999999995"/>
  </r>
  <r>
    <n v="561"/>
    <n v="333281266"/>
    <x v="4"/>
    <x v="0"/>
    <x v="78"/>
    <x v="2"/>
    <x v="24"/>
    <x v="3"/>
    <n v="4188"/>
    <n v="10093.08"/>
  </r>
  <r>
    <n v="562"/>
    <n v="888647449"/>
    <x v="0"/>
    <x v="1"/>
    <x v="24"/>
    <x v="3"/>
    <x v="15"/>
    <x v="0"/>
    <n v="9383"/>
    <n v="1631422.21"/>
  </r>
  <r>
    <n v="563"/>
    <n v="844997823"/>
    <x v="5"/>
    <x v="0"/>
    <x v="58"/>
    <x v="3"/>
    <x v="9"/>
    <x v="2"/>
    <n v="2488"/>
    <n v="182718.72"/>
  </r>
  <r>
    <n v="564"/>
    <n v="171131217"/>
    <x v="4"/>
    <x v="1"/>
    <x v="53"/>
    <x v="2"/>
    <x v="26"/>
    <x v="1"/>
    <n v="385"/>
    <n v="927.85"/>
  </r>
  <r>
    <n v="565"/>
    <n v="256158959"/>
    <x v="8"/>
    <x v="1"/>
    <x v="49"/>
    <x v="3"/>
    <x v="15"/>
    <x v="0"/>
    <n v="1983"/>
    <n v="250353.75"/>
  </r>
  <r>
    <n v="566"/>
    <n v="759504878"/>
    <x v="0"/>
    <x v="1"/>
    <x v="37"/>
    <x v="0"/>
    <x v="28"/>
    <x v="2"/>
    <n v="3226"/>
    <n v="560904.62"/>
  </r>
  <r>
    <n v="567"/>
    <n v="960905301"/>
    <x v="4"/>
    <x v="1"/>
    <x v="42"/>
    <x v="0"/>
    <x v="4"/>
    <x v="3"/>
    <n v="2087"/>
    <n v="5029.67"/>
  </r>
  <r>
    <n v="568"/>
    <n v="210409057"/>
    <x v="8"/>
    <x v="0"/>
    <x v="89"/>
    <x v="0"/>
    <x v="20"/>
    <x v="3"/>
    <n v="3570"/>
    <n v="450712.5"/>
  </r>
  <r>
    <n v="569"/>
    <n v="178377473"/>
    <x v="0"/>
    <x v="0"/>
    <x v="51"/>
    <x v="2"/>
    <x v="11"/>
    <x v="1"/>
    <n v="4713"/>
    <n v="819449.31"/>
  </r>
  <r>
    <n v="570"/>
    <n v="805484378"/>
    <x v="4"/>
    <x v="1"/>
    <x v="58"/>
    <x v="3"/>
    <x v="20"/>
    <x v="3"/>
    <n v="9582"/>
    <n v="23092.62"/>
  </r>
  <r>
    <n v="571"/>
    <n v="752716100"/>
    <x v="9"/>
    <x v="1"/>
    <x v="88"/>
    <x v="2"/>
    <x v="7"/>
    <x v="3"/>
    <n v="4276"/>
    <n v="66962.16"/>
  </r>
  <r>
    <n v="572"/>
    <n v="551371467"/>
    <x v="5"/>
    <x v="1"/>
    <x v="19"/>
    <x v="2"/>
    <x v="7"/>
    <x v="3"/>
    <n v="1925"/>
    <n v="141372"/>
  </r>
  <r>
    <n v="573"/>
    <n v="353061807"/>
    <x v="6"/>
    <x v="0"/>
    <x v="73"/>
    <x v="3"/>
    <x v="3"/>
    <x v="2"/>
    <n v="7689"/>
    <n v="423971.46"/>
  </r>
  <r>
    <n v="574"/>
    <n v="379710948"/>
    <x v="10"/>
    <x v="1"/>
    <x v="13"/>
    <x v="3"/>
    <x v="25"/>
    <x v="2"/>
    <n v="3762"/>
    <n v="94275.72"/>
  </r>
  <r>
    <n v="575"/>
    <n v="473555219"/>
    <x v="3"/>
    <x v="1"/>
    <x v="89"/>
    <x v="0"/>
    <x v="25"/>
    <x v="2"/>
    <n v="4368"/>
    <n v="386961.12"/>
  </r>
  <r>
    <n v="576"/>
    <n v="547143447"/>
    <x v="8"/>
    <x v="1"/>
    <x v="21"/>
    <x v="3"/>
    <x v="0"/>
    <x v="0"/>
    <n v="760"/>
    <n v="95950"/>
  </r>
  <r>
    <n v="577"/>
    <n v="133336961"/>
    <x v="10"/>
    <x v="1"/>
    <x v="83"/>
    <x v="1"/>
    <x v="12"/>
    <x v="4"/>
    <n v="6225"/>
    <n v="155998.5"/>
  </r>
  <r>
    <n v="578"/>
    <n v="635309588"/>
    <x v="11"/>
    <x v="1"/>
    <x v="34"/>
    <x v="2"/>
    <x v="1"/>
    <x v="1"/>
    <n v="1080"/>
    <n v="61776"/>
  </r>
  <r>
    <n v="579"/>
    <n v="376547658"/>
    <x v="9"/>
    <x v="1"/>
    <x v="79"/>
    <x v="0"/>
    <x v="6"/>
    <x v="2"/>
    <n v="7675"/>
    <n v="120190.5"/>
  </r>
  <r>
    <n v="580"/>
    <n v="450849997"/>
    <x v="5"/>
    <x v="0"/>
    <x v="14"/>
    <x v="1"/>
    <x v="9"/>
    <x v="2"/>
    <n v="5388"/>
    <n v="395694.72"/>
  </r>
  <r>
    <n v="581"/>
    <n v="672327935"/>
    <x v="10"/>
    <x v="1"/>
    <x v="54"/>
    <x v="3"/>
    <x v="15"/>
    <x v="0"/>
    <n v="5631"/>
    <n v="141112.85999999999"/>
  </r>
  <r>
    <n v="582"/>
    <n v="925405299"/>
    <x v="3"/>
    <x v="0"/>
    <x v="6"/>
    <x v="3"/>
    <x v="20"/>
    <x v="3"/>
    <n v="6847"/>
    <n v="606575.73"/>
  </r>
  <r>
    <n v="583"/>
    <n v="714818418"/>
    <x v="7"/>
    <x v="0"/>
    <x v="78"/>
    <x v="2"/>
    <x v="3"/>
    <x v="2"/>
    <n v="9509"/>
    <n v="1575926.57"/>
  </r>
  <r>
    <n v="584"/>
    <n v="515616118"/>
    <x v="9"/>
    <x v="0"/>
    <x v="55"/>
    <x v="3"/>
    <x v="3"/>
    <x v="2"/>
    <n v="1122"/>
    <n v="17570.52"/>
  </r>
  <r>
    <n v="585"/>
    <n v="423159730"/>
    <x v="3"/>
    <x v="0"/>
    <x v="73"/>
    <x v="3"/>
    <x v="18"/>
    <x v="2"/>
    <n v="1222"/>
    <n v="108256.98"/>
  </r>
  <r>
    <n v="586"/>
    <n v="603123080"/>
    <x v="10"/>
    <x v="0"/>
    <x v="36"/>
    <x v="2"/>
    <x v="21"/>
    <x v="2"/>
    <n v="6377"/>
    <n v="159807.62"/>
  </r>
  <r>
    <n v="587"/>
    <n v="841492497"/>
    <x v="11"/>
    <x v="0"/>
    <x v="42"/>
    <x v="0"/>
    <x v="0"/>
    <x v="0"/>
    <n v="5185"/>
    <n v="296582"/>
  </r>
  <r>
    <n v="588"/>
    <n v="994566810"/>
    <x v="3"/>
    <x v="0"/>
    <x v="34"/>
    <x v="2"/>
    <x v="22"/>
    <x v="1"/>
    <n v="3275"/>
    <n v="290132.25"/>
  </r>
  <r>
    <n v="589"/>
    <n v="538957345"/>
    <x v="1"/>
    <x v="0"/>
    <x v="47"/>
    <x v="1"/>
    <x v="11"/>
    <x v="1"/>
    <n v="8310"/>
    <n v="524610.30000000005"/>
  </r>
  <r>
    <n v="590"/>
    <n v="821587932"/>
    <x v="4"/>
    <x v="0"/>
    <x v="33"/>
    <x v="3"/>
    <x v="24"/>
    <x v="3"/>
    <n v="4981"/>
    <n v="12004.21"/>
  </r>
  <r>
    <n v="591"/>
    <n v="109694898"/>
    <x v="7"/>
    <x v="1"/>
    <x v="53"/>
    <x v="2"/>
    <x v="2"/>
    <x v="2"/>
    <n v="13"/>
    <n v="2154.4899999999998"/>
  </r>
  <r>
    <n v="592"/>
    <n v="340827071"/>
    <x v="11"/>
    <x v="0"/>
    <x v="35"/>
    <x v="1"/>
    <x v="18"/>
    <x v="2"/>
    <n v="7159"/>
    <n v="409494.8"/>
  </r>
  <r>
    <n v="593"/>
    <n v="372845780"/>
    <x v="11"/>
    <x v="0"/>
    <x v="5"/>
    <x v="0"/>
    <x v="6"/>
    <x v="2"/>
    <n v="2207"/>
    <n v="126240.4"/>
  </r>
  <r>
    <n v="594"/>
    <n v="933924853"/>
    <x v="4"/>
    <x v="1"/>
    <x v="65"/>
    <x v="2"/>
    <x v="2"/>
    <x v="2"/>
    <n v="7973"/>
    <n v="19214.93"/>
  </r>
  <r>
    <n v="595"/>
    <n v="572550618"/>
    <x v="8"/>
    <x v="1"/>
    <x v="64"/>
    <x v="0"/>
    <x v="11"/>
    <x v="1"/>
    <n v="9306"/>
    <n v="1174882.5"/>
  </r>
  <r>
    <n v="596"/>
    <n v="607521903"/>
    <x v="11"/>
    <x v="1"/>
    <x v="11"/>
    <x v="3"/>
    <x v="7"/>
    <x v="3"/>
    <n v="8086"/>
    <n v="462519.2"/>
  </r>
  <r>
    <n v="597"/>
    <n v="177950036"/>
    <x v="6"/>
    <x v="1"/>
    <x v="57"/>
    <x v="3"/>
    <x v="2"/>
    <x v="2"/>
    <n v="8225"/>
    <n v="453526.5"/>
  </r>
  <r>
    <n v="598"/>
    <n v="293258845"/>
    <x v="9"/>
    <x v="0"/>
    <x v="72"/>
    <x v="0"/>
    <x v="18"/>
    <x v="2"/>
    <n v="664"/>
    <n v="10398.24"/>
  </r>
  <r>
    <n v="599"/>
    <n v="683184659"/>
    <x v="9"/>
    <x v="1"/>
    <x v="20"/>
    <x v="2"/>
    <x v="26"/>
    <x v="1"/>
    <n v="8377"/>
    <n v="131183.82"/>
  </r>
  <r>
    <n v="600"/>
    <n v="247776305"/>
    <x v="3"/>
    <x v="1"/>
    <x v="42"/>
    <x v="0"/>
    <x v="20"/>
    <x v="3"/>
    <n v="1370"/>
    <n v="121368.3"/>
  </r>
  <r>
    <n v="601"/>
    <n v="207395112"/>
    <x v="11"/>
    <x v="0"/>
    <x v="81"/>
    <x v="0"/>
    <x v="9"/>
    <x v="2"/>
    <n v="1677"/>
    <n v="95924.4"/>
  </r>
  <r>
    <n v="602"/>
    <n v="952714908"/>
    <x v="1"/>
    <x v="0"/>
    <x v="28"/>
    <x v="3"/>
    <x v="16"/>
    <x v="4"/>
    <n v="8367"/>
    <n v="528208.71"/>
  </r>
  <r>
    <n v="603"/>
    <n v="694722020"/>
    <x v="1"/>
    <x v="1"/>
    <x v="66"/>
    <x v="0"/>
    <x v="18"/>
    <x v="2"/>
    <n v="2539"/>
    <n v="160287.07"/>
  </r>
  <r>
    <n v="604"/>
    <n v="414715278"/>
    <x v="7"/>
    <x v="1"/>
    <x v="89"/>
    <x v="0"/>
    <x v="2"/>
    <x v="2"/>
    <n v="2321"/>
    <n v="384659.33"/>
  </r>
  <r>
    <n v="605"/>
    <n v="714306008"/>
    <x v="6"/>
    <x v="0"/>
    <x v="78"/>
    <x v="2"/>
    <x v="4"/>
    <x v="3"/>
    <n v="7876"/>
    <n v="434282.64"/>
  </r>
  <r>
    <n v="606"/>
    <n v="465418040"/>
    <x v="6"/>
    <x v="1"/>
    <x v="25"/>
    <x v="3"/>
    <x v="19"/>
    <x v="1"/>
    <n v="6396"/>
    <n v="352675.44"/>
  </r>
  <r>
    <n v="607"/>
    <n v="860287702"/>
    <x v="3"/>
    <x v="1"/>
    <x v="36"/>
    <x v="2"/>
    <x v="25"/>
    <x v="2"/>
    <n v="7103"/>
    <n v="629254.77"/>
  </r>
  <r>
    <n v="608"/>
    <n v="461463820"/>
    <x v="1"/>
    <x v="1"/>
    <x v="34"/>
    <x v="2"/>
    <x v="14"/>
    <x v="3"/>
    <n v="6254"/>
    <n v="394815.02"/>
  </r>
  <r>
    <n v="609"/>
    <n v="151807725"/>
    <x v="2"/>
    <x v="0"/>
    <x v="53"/>
    <x v="2"/>
    <x v="16"/>
    <x v="4"/>
    <n v="2134"/>
    <n v="204565.24"/>
  </r>
  <r>
    <n v="610"/>
    <n v="884493243"/>
    <x v="11"/>
    <x v="0"/>
    <x v="36"/>
    <x v="2"/>
    <x v="4"/>
    <x v="3"/>
    <n v="61"/>
    <n v="3489.2"/>
  </r>
  <r>
    <n v="611"/>
    <n v="533006703"/>
    <x v="0"/>
    <x v="0"/>
    <x v="80"/>
    <x v="0"/>
    <x v="8"/>
    <x v="0"/>
    <n v="7383"/>
    <n v="1283682.21"/>
  </r>
  <r>
    <n v="612"/>
    <n v="641146934"/>
    <x v="1"/>
    <x v="1"/>
    <x v="19"/>
    <x v="2"/>
    <x v="3"/>
    <x v="2"/>
    <n v="8480"/>
    <n v="535342.4"/>
  </r>
  <r>
    <n v="613"/>
    <n v="573025262"/>
    <x v="0"/>
    <x v="0"/>
    <x v="37"/>
    <x v="0"/>
    <x v="20"/>
    <x v="3"/>
    <n v="9764"/>
    <n v="1697666.68"/>
  </r>
  <r>
    <n v="614"/>
    <n v="663065516"/>
    <x v="7"/>
    <x v="0"/>
    <x v="36"/>
    <x v="2"/>
    <x v="6"/>
    <x v="2"/>
    <n v="4676"/>
    <n v="774953.48"/>
  </r>
  <r>
    <n v="615"/>
    <n v="866004025"/>
    <x v="9"/>
    <x v="1"/>
    <x v="52"/>
    <x v="3"/>
    <x v="6"/>
    <x v="2"/>
    <n v="8691"/>
    <n v="136101.06"/>
  </r>
  <r>
    <n v="616"/>
    <n v="306889617"/>
    <x v="2"/>
    <x v="1"/>
    <x v="66"/>
    <x v="0"/>
    <x v="20"/>
    <x v="3"/>
    <n v="4312"/>
    <n v="413348.32"/>
  </r>
  <r>
    <n v="617"/>
    <n v="431083619"/>
    <x v="10"/>
    <x v="1"/>
    <x v="76"/>
    <x v="2"/>
    <x v="2"/>
    <x v="2"/>
    <n v="6077"/>
    <n v="152289.62"/>
  </r>
  <r>
    <n v="618"/>
    <n v="954259860"/>
    <x v="10"/>
    <x v="1"/>
    <x v="86"/>
    <x v="1"/>
    <x v="7"/>
    <x v="3"/>
    <n v="5553"/>
    <n v="139158.18"/>
  </r>
  <r>
    <n v="619"/>
    <n v="312404668"/>
    <x v="10"/>
    <x v="0"/>
    <x v="44"/>
    <x v="1"/>
    <x v="20"/>
    <x v="3"/>
    <n v="6338"/>
    <n v="158830.28"/>
  </r>
  <r>
    <n v="620"/>
    <n v="611816871"/>
    <x v="8"/>
    <x v="0"/>
    <x v="3"/>
    <x v="1"/>
    <x v="1"/>
    <x v="1"/>
    <n v="9063"/>
    <n v="1144203.75"/>
  </r>
  <r>
    <n v="621"/>
    <n v="879107797"/>
    <x v="8"/>
    <x v="1"/>
    <x v="32"/>
    <x v="0"/>
    <x v="7"/>
    <x v="3"/>
    <n v="6388"/>
    <n v="806485"/>
  </r>
  <r>
    <n v="622"/>
    <n v="211201274"/>
    <x v="1"/>
    <x v="0"/>
    <x v="51"/>
    <x v="2"/>
    <x v="26"/>
    <x v="1"/>
    <n v="8005"/>
    <n v="505355.65"/>
  </r>
  <r>
    <n v="623"/>
    <n v="925333631"/>
    <x v="4"/>
    <x v="1"/>
    <x v="27"/>
    <x v="1"/>
    <x v="2"/>
    <x v="2"/>
    <n v="5639"/>
    <n v="13589.99"/>
  </r>
  <r>
    <n v="624"/>
    <n v="909053695"/>
    <x v="6"/>
    <x v="0"/>
    <x v="14"/>
    <x v="1"/>
    <x v="12"/>
    <x v="4"/>
    <n v="8044"/>
    <n v="443546.16"/>
  </r>
  <r>
    <n v="625"/>
    <n v="370222795"/>
    <x v="2"/>
    <x v="1"/>
    <x v="44"/>
    <x v="1"/>
    <x v="2"/>
    <x v="2"/>
    <n v="6007"/>
    <n v="575831.02"/>
  </r>
  <r>
    <n v="626"/>
    <n v="487014758"/>
    <x v="0"/>
    <x v="0"/>
    <x v="36"/>
    <x v="2"/>
    <x v="25"/>
    <x v="2"/>
    <n v="7344"/>
    <n v="1276901.28"/>
  </r>
  <r>
    <n v="627"/>
    <n v="257915914"/>
    <x v="1"/>
    <x v="1"/>
    <x v="53"/>
    <x v="2"/>
    <x v="22"/>
    <x v="1"/>
    <n v="1905"/>
    <n v="120262.65"/>
  </r>
  <r>
    <n v="628"/>
    <n v="551725089"/>
    <x v="11"/>
    <x v="0"/>
    <x v="51"/>
    <x v="2"/>
    <x v="2"/>
    <x v="2"/>
    <n v="6569"/>
    <n v="375746.8"/>
  </r>
  <r>
    <n v="629"/>
    <n v="957553613"/>
    <x v="11"/>
    <x v="0"/>
    <x v="9"/>
    <x v="0"/>
    <x v="8"/>
    <x v="0"/>
    <n v="248"/>
    <n v="14185.6"/>
  </r>
  <r>
    <n v="630"/>
    <n v="234825313"/>
    <x v="8"/>
    <x v="0"/>
    <x v="82"/>
    <x v="3"/>
    <x v="27"/>
    <x v="3"/>
    <n v="8883"/>
    <n v="1121478.75"/>
  </r>
  <r>
    <n v="631"/>
    <n v="363276517"/>
    <x v="6"/>
    <x v="1"/>
    <x v="14"/>
    <x v="1"/>
    <x v="12"/>
    <x v="4"/>
    <n v="449"/>
    <n v="24757.86"/>
  </r>
  <r>
    <n v="632"/>
    <n v="692956054"/>
    <x v="10"/>
    <x v="1"/>
    <x v="90"/>
    <x v="1"/>
    <x v="3"/>
    <x v="2"/>
    <n v="9950"/>
    <n v="249347"/>
  </r>
  <r>
    <n v="633"/>
    <n v="194225251"/>
    <x v="0"/>
    <x v="1"/>
    <x v="48"/>
    <x v="1"/>
    <x v="14"/>
    <x v="3"/>
    <n v="4423"/>
    <n v="769027.01"/>
  </r>
  <r>
    <n v="634"/>
    <n v="607757937"/>
    <x v="4"/>
    <x v="1"/>
    <x v="11"/>
    <x v="3"/>
    <x v="20"/>
    <x v="3"/>
    <n v="7934"/>
    <n v="19120.939999999999"/>
  </r>
  <r>
    <n v="635"/>
    <n v="594540441"/>
    <x v="3"/>
    <x v="0"/>
    <x v="67"/>
    <x v="1"/>
    <x v="19"/>
    <x v="1"/>
    <n v="6583"/>
    <n v="583187.97"/>
  </r>
  <r>
    <n v="636"/>
    <n v="685871589"/>
    <x v="1"/>
    <x v="1"/>
    <x v="6"/>
    <x v="3"/>
    <x v="18"/>
    <x v="2"/>
    <n v="3500"/>
    <n v="220955"/>
  </r>
  <r>
    <n v="637"/>
    <n v="133362710"/>
    <x v="3"/>
    <x v="0"/>
    <x v="61"/>
    <x v="3"/>
    <x v="16"/>
    <x v="4"/>
    <n v="3844"/>
    <n v="340539.96"/>
  </r>
  <r>
    <n v="638"/>
    <n v="958937633"/>
    <x v="5"/>
    <x v="0"/>
    <x v="90"/>
    <x v="1"/>
    <x v="23"/>
    <x v="1"/>
    <n v="9810"/>
    <n v="720446.4"/>
  </r>
  <r>
    <n v="639"/>
    <n v="304832684"/>
    <x v="1"/>
    <x v="1"/>
    <x v="4"/>
    <x v="2"/>
    <x v="17"/>
    <x v="1"/>
    <n v="5620"/>
    <n v="354790.6"/>
  </r>
  <r>
    <n v="640"/>
    <n v="783596694"/>
    <x v="2"/>
    <x v="0"/>
    <x v="42"/>
    <x v="0"/>
    <x v="24"/>
    <x v="3"/>
    <n v="2530"/>
    <n v="242525.8"/>
  </r>
  <r>
    <n v="641"/>
    <n v="128090989"/>
    <x v="7"/>
    <x v="0"/>
    <x v="38"/>
    <x v="1"/>
    <x v="7"/>
    <x v="3"/>
    <n v="3825"/>
    <n v="633917.25"/>
  </r>
  <r>
    <n v="642"/>
    <n v="641489398"/>
    <x v="1"/>
    <x v="0"/>
    <x v="76"/>
    <x v="2"/>
    <x v="13"/>
    <x v="3"/>
    <n v="9823"/>
    <n v="620125.99"/>
  </r>
  <r>
    <n v="643"/>
    <n v="647278249"/>
    <x v="5"/>
    <x v="0"/>
    <x v="65"/>
    <x v="2"/>
    <x v="1"/>
    <x v="1"/>
    <n v="2873"/>
    <n v="210993.12"/>
  </r>
  <r>
    <n v="644"/>
    <n v="339256370"/>
    <x v="5"/>
    <x v="1"/>
    <x v="33"/>
    <x v="3"/>
    <x v="27"/>
    <x v="3"/>
    <n v="2354"/>
    <n v="172877.76"/>
  </r>
  <r>
    <n v="645"/>
    <n v="431535089"/>
    <x v="2"/>
    <x v="0"/>
    <x v="82"/>
    <x v="3"/>
    <x v="28"/>
    <x v="2"/>
    <n v="9677"/>
    <n v="927637.22"/>
  </r>
  <r>
    <n v="646"/>
    <n v="808538234"/>
    <x v="3"/>
    <x v="0"/>
    <x v="10"/>
    <x v="0"/>
    <x v="25"/>
    <x v="2"/>
    <n v="3286"/>
    <n v="291106.74"/>
  </r>
  <r>
    <n v="647"/>
    <n v="975002133"/>
    <x v="10"/>
    <x v="1"/>
    <x v="39"/>
    <x v="3"/>
    <x v="25"/>
    <x v="2"/>
    <n v="3653"/>
    <n v="91544.18"/>
  </r>
  <r>
    <n v="648"/>
    <n v="505975615"/>
    <x v="6"/>
    <x v="1"/>
    <x v="27"/>
    <x v="1"/>
    <x v="13"/>
    <x v="3"/>
    <n v="8283"/>
    <n v="456724.62"/>
  </r>
  <r>
    <n v="649"/>
    <n v="396820008"/>
    <x v="1"/>
    <x v="0"/>
    <x v="85"/>
    <x v="3"/>
    <x v="1"/>
    <x v="1"/>
    <n v="6714"/>
    <n v="423854.82"/>
  </r>
  <r>
    <n v="650"/>
    <n v="813209140"/>
    <x v="1"/>
    <x v="1"/>
    <x v="48"/>
    <x v="1"/>
    <x v="6"/>
    <x v="2"/>
    <n v="5511"/>
    <n v="347909.43"/>
  </r>
  <r>
    <n v="651"/>
    <n v="641129338"/>
    <x v="2"/>
    <x v="1"/>
    <x v="35"/>
    <x v="1"/>
    <x v="23"/>
    <x v="1"/>
    <n v="3273"/>
    <n v="313749.78000000003"/>
  </r>
  <r>
    <n v="652"/>
    <n v="636879432"/>
    <x v="11"/>
    <x v="0"/>
    <x v="27"/>
    <x v="1"/>
    <x v="3"/>
    <x v="2"/>
    <n v="5632"/>
    <n v="322150.40000000002"/>
  </r>
  <r>
    <n v="653"/>
    <n v="277070748"/>
    <x v="6"/>
    <x v="1"/>
    <x v="46"/>
    <x v="1"/>
    <x v="4"/>
    <x v="3"/>
    <n v="246"/>
    <n v="13564.44"/>
  </r>
  <r>
    <n v="654"/>
    <n v="908627116"/>
    <x v="0"/>
    <x v="0"/>
    <x v="64"/>
    <x v="0"/>
    <x v="5"/>
    <x v="4"/>
    <n v="1810"/>
    <n v="314704.7"/>
  </r>
  <r>
    <n v="655"/>
    <n v="798784863"/>
    <x v="0"/>
    <x v="0"/>
    <x v="75"/>
    <x v="1"/>
    <x v="15"/>
    <x v="0"/>
    <n v="7047"/>
    <n v="1225261.8899999999"/>
  </r>
  <r>
    <n v="656"/>
    <n v="985092818"/>
    <x v="9"/>
    <x v="0"/>
    <x v="31"/>
    <x v="1"/>
    <x v="23"/>
    <x v="1"/>
    <n v="9711"/>
    <n v="152074.26"/>
  </r>
  <r>
    <n v="657"/>
    <n v="325412309"/>
    <x v="6"/>
    <x v="0"/>
    <x v="31"/>
    <x v="1"/>
    <x v="24"/>
    <x v="3"/>
    <n v="5588"/>
    <n v="308122.32"/>
  </r>
  <r>
    <n v="658"/>
    <n v="447917163"/>
    <x v="9"/>
    <x v="1"/>
    <x v="43"/>
    <x v="1"/>
    <x v="18"/>
    <x v="2"/>
    <n v="7497"/>
    <n v="117403.02"/>
  </r>
  <r>
    <n v="659"/>
    <n v="801093709"/>
    <x v="11"/>
    <x v="0"/>
    <x v="36"/>
    <x v="2"/>
    <x v="28"/>
    <x v="2"/>
    <n v="285"/>
    <n v="16302"/>
  </r>
  <r>
    <n v="660"/>
    <n v="903740775"/>
    <x v="4"/>
    <x v="0"/>
    <x v="0"/>
    <x v="0"/>
    <x v="5"/>
    <x v="4"/>
    <n v="5833"/>
    <n v="14057.53"/>
  </r>
  <r>
    <n v="661"/>
    <n v="794969689"/>
    <x v="11"/>
    <x v="0"/>
    <x v="66"/>
    <x v="0"/>
    <x v="11"/>
    <x v="1"/>
    <n v="8052"/>
    <n v="460574.4"/>
  </r>
  <r>
    <n v="662"/>
    <n v="584204280"/>
    <x v="5"/>
    <x v="1"/>
    <x v="71"/>
    <x v="0"/>
    <x v="19"/>
    <x v="1"/>
    <n v="7884"/>
    <n v="579000.96"/>
  </r>
  <r>
    <n v="663"/>
    <n v="901180875"/>
    <x v="3"/>
    <x v="0"/>
    <x v="31"/>
    <x v="1"/>
    <x v="25"/>
    <x v="2"/>
    <n v="8302"/>
    <n v="735474.18"/>
  </r>
  <r>
    <n v="664"/>
    <n v="645948302"/>
    <x v="6"/>
    <x v="0"/>
    <x v="18"/>
    <x v="2"/>
    <x v="20"/>
    <x v="3"/>
    <n v="9312"/>
    <n v="513463.68"/>
  </r>
  <r>
    <n v="665"/>
    <n v="138867890"/>
    <x v="3"/>
    <x v="1"/>
    <x v="8"/>
    <x v="3"/>
    <x v="9"/>
    <x v="2"/>
    <n v="2950"/>
    <n v="261340.5"/>
  </r>
  <r>
    <n v="666"/>
    <n v="670613467"/>
    <x v="9"/>
    <x v="0"/>
    <x v="56"/>
    <x v="3"/>
    <x v="4"/>
    <x v="3"/>
    <n v="8282"/>
    <n v="129696.12"/>
  </r>
  <r>
    <n v="667"/>
    <n v="452171361"/>
    <x v="0"/>
    <x v="0"/>
    <x v="35"/>
    <x v="1"/>
    <x v="4"/>
    <x v="3"/>
    <n v="6409"/>
    <n v="1114332.83"/>
  </r>
  <r>
    <n v="668"/>
    <n v="464840400"/>
    <x v="6"/>
    <x v="1"/>
    <x v="80"/>
    <x v="0"/>
    <x v="4"/>
    <x v="3"/>
    <n v="5459"/>
    <n v="301009.26"/>
  </r>
  <r>
    <n v="669"/>
    <n v="410231912"/>
    <x v="7"/>
    <x v="1"/>
    <x v="0"/>
    <x v="0"/>
    <x v="14"/>
    <x v="3"/>
    <n v="5594"/>
    <n v="927093.62"/>
  </r>
  <r>
    <n v="670"/>
    <n v="960269725"/>
    <x v="11"/>
    <x v="0"/>
    <x v="8"/>
    <x v="3"/>
    <x v="6"/>
    <x v="2"/>
    <n v="4006"/>
    <n v="229143.2"/>
  </r>
  <r>
    <n v="671"/>
    <n v="607190167"/>
    <x v="9"/>
    <x v="0"/>
    <x v="75"/>
    <x v="1"/>
    <x v="19"/>
    <x v="1"/>
    <n v="9919"/>
    <n v="155331.54"/>
  </r>
  <r>
    <n v="672"/>
    <n v="613542068"/>
    <x v="11"/>
    <x v="0"/>
    <x v="34"/>
    <x v="2"/>
    <x v="16"/>
    <x v="4"/>
    <n v="9587"/>
    <n v="548376.4"/>
  </r>
  <r>
    <n v="673"/>
    <n v="962186753"/>
    <x v="7"/>
    <x v="0"/>
    <x v="12"/>
    <x v="0"/>
    <x v="18"/>
    <x v="2"/>
    <n v="1297"/>
    <n v="214951.81"/>
  </r>
  <r>
    <n v="674"/>
    <n v="806298053"/>
    <x v="9"/>
    <x v="1"/>
    <x v="59"/>
    <x v="2"/>
    <x v="15"/>
    <x v="0"/>
    <n v="366"/>
    <n v="5731.56"/>
  </r>
  <r>
    <n v="675"/>
    <n v="719362294"/>
    <x v="10"/>
    <x v="1"/>
    <x v="66"/>
    <x v="0"/>
    <x v="19"/>
    <x v="1"/>
    <n v="4144"/>
    <n v="103848.64"/>
  </r>
  <r>
    <n v="676"/>
    <n v="445178306"/>
    <x v="2"/>
    <x v="1"/>
    <x v="36"/>
    <x v="2"/>
    <x v="27"/>
    <x v="3"/>
    <n v="7008"/>
    <n v="671786.88"/>
  </r>
  <r>
    <n v="677"/>
    <n v="247857415"/>
    <x v="0"/>
    <x v="0"/>
    <x v="73"/>
    <x v="3"/>
    <x v="16"/>
    <x v="4"/>
    <n v="5372"/>
    <n v="934029.64"/>
  </r>
  <r>
    <n v="678"/>
    <n v="461823451"/>
    <x v="1"/>
    <x v="0"/>
    <x v="65"/>
    <x v="2"/>
    <x v="18"/>
    <x v="2"/>
    <n v="2677"/>
    <n v="168999.01"/>
  </r>
  <r>
    <n v="679"/>
    <n v="141812741"/>
    <x v="8"/>
    <x v="0"/>
    <x v="23"/>
    <x v="3"/>
    <x v="28"/>
    <x v="2"/>
    <n v="4396"/>
    <n v="554995"/>
  </r>
  <r>
    <n v="680"/>
    <n v="212874114"/>
    <x v="11"/>
    <x v="1"/>
    <x v="60"/>
    <x v="2"/>
    <x v="19"/>
    <x v="1"/>
    <n v="3036"/>
    <n v="173659.2"/>
  </r>
  <r>
    <n v="681"/>
    <n v="320368897"/>
    <x v="8"/>
    <x v="0"/>
    <x v="56"/>
    <x v="3"/>
    <x v="9"/>
    <x v="2"/>
    <n v="3131"/>
    <n v="395288.75"/>
  </r>
  <r>
    <n v="682"/>
    <n v="179970920"/>
    <x v="9"/>
    <x v="1"/>
    <x v="27"/>
    <x v="1"/>
    <x v="24"/>
    <x v="3"/>
    <n v="6249"/>
    <n v="97859.34"/>
  </r>
  <r>
    <n v="683"/>
    <n v="927666509"/>
    <x v="7"/>
    <x v="1"/>
    <x v="67"/>
    <x v="1"/>
    <x v="12"/>
    <x v="4"/>
    <n v="5990"/>
    <n v="992722.7"/>
  </r>
  <r>
    <n v="684"/>
    <n v="169754493"/>
    <x v="8"/>
    <x v="1"/>
    <x v="41"/>
    <x v="0"/>
    <x v="12"/>
    <x v="4"/>
    <n v="2982"/>
    <n v="376477.5"/>
  </r>
  <r>
    <n v="685"/>
    <n v="532846200"/>
    <x v="10"/>
    <x v="0"/>
    <x v="6"/>
    <x v="3"/>
    <x v="12"/>
    <x v="4"/>
    <n v="9886"/>
    <n v="247743.16"/>
  </r>
  <r>
    <n v="686"/>
    <n v="213865458"/>
    <x v="6"/>
    <x v="1"/>
    <x v="48"/>
    <x v="1"/>
    <x v="22"/>
    <x v="1"/>
    <n v="6397"/>
    <n v="352730.58"/>
  </r>
  <r>
    <n v="687"/>
    <n v="630048596"/>
    <x v="8"/>
    <x v="1"/>
    <x v="4"/>
    <x v="2"/>
    <x v="18"/>
    <x v="2"/>
    <n v="4236"/>
    <n v="534795"/>
  </r>
  <r>
    <n v="688"/>
    <n v="568944442"/>
    <x v="5"/>
    <x v="0"/>
    <x v="29"/>
    <x v="1"/>
    <x v="12"/>
    <x v="4"/>
    <n v="2158"/>
    <n v="158483.51999999999"/>
  </r>
  <r>
    <n v="689"/>
    <n v="238414323"/>
    <x v="2"/>
    <x v="1"/>
    <x v="87"/>
    <x v="3"/>
    <x v="25"/>
    <x v="2"/>
    <n v="951"/>
    <n v="91162.86"/>
  </r>
  <r>
    <n v="690"/>
    <n v="816632068"/>
    <x v="8"/>
    <x v="1"/>
    <x v="40"/>
    <x v="2"/>
    <x v="5"/>
    <x v="4"/>
    <n v="8431"/>
    <n v="1064413.75"/>
  </r>
  <r>
    <n v="691"/>
    <n v="402084004"/>
    <x v="2"/>
    <x v="1"/>
    <x v="53"/>
    <x v="2"/>
    <x v="15"/>
    <x v="0"/>
    <n v="4447"/>
    <n v="426289.42"/>
  </r>
  <r>
    <n v="692"/>
    <n v="763568961"/>
    <x v="6"/>
    <x v="1"/>
    <x v="86"/>
    <x v="1"/>
    <x v="25"/>
    <x v="2"/>
    <n v="5879"/>
    <n v="324168.06"/>
  </r>
  <r>
    <n v="693"/>
    <n v="590198266"/>
    <x v="6"/>
    <x v="0"/>
    <x v="86"/>
    <x v="1"/>
    <x v="19"/>
    <x v="1"/>
    <n v="1637"/>
    <n v="90264.18"/>
  </r>
  <r>
    <n v="694"/>
    <n v="441395747"/>
    <x v="6"/>
    <x v="1"/>
    <x v="78"/>
    <x v="2"/>
    <x v="1"/>
    <x v="1"/>
    <n v="7665"/>
    <n v="422648.1"/>
  </r>
  <r>
    <n v="695"/>
    <n v="496897733"/>
    <x v="10"/>
    <x v="0"/>
    <x v="14"/>
    <x v="1"/>
    <x v="28"/>
    <x v="2"/>
    <n v="1936"/>
    <n v="48516.160000000003"/>
  </r>
  <r>
    <n v="696"/>
    <n v="106753051"/>
    <x v="9"/>
    <x v="1"/>
    <x v="1"/>
    <x v="0"/>
    <x v="6"/>
    <x v="2"/>
    <n v="9455"/>
    <n v="148065.29999999999"/>
  </r>
  <r>
    <n v="697"/>
    <n v="941323029"/>
    <x v="4"/>
    <x v="0"/>
    <x v="2"/>
    <x v="0"/>
    <x v="28"/>
    <x v="2"/>
    <n v="7258"/>
    <n v="17491.78"/>
  </r>
  <r>
    <n v="698"/>
    <n v="241281497"/>
    <x v="1"/>
    <x v="0"/>
    <x v="61"/>
    <x v="3"/>
    <x v="27"/>
    <x v="3"/>
    <n v="9412"/>
    <n v="594179.56000000006"/>
  </r>
  <r>
    <n v="699"/>
    <n v="267614781"/>
    <x v="11"/>
    <x v="0"/>
    <x v="15"/>
    <x v="1"/>
    <x v="9"/>
    <x v="2"/>
    <n v="2016"/>
    <n v="115315.2"/>
  </r>
  <r>
    <n v="700"/>
    <n v="651621711"/>
    <x v="0"/>
    <x v="0"/>
    <x v="20"/>
    <x v="2"/>
    <x v="20"/>
    <x v="3"/>
    <n v="8200"/>
    <n v="1425734"/>
  </r>
  <r>
    <n v="701"/>
    <n v="644913613"/>
    <x v="10"/>
    <x v="1"/>
    <x v="40"/>
    <x v="2"/>
    <x v="27"/>
    <x v="3"/>
    <n v="3124"/>
    <n v="78287.44"/>
  </r>
  <r>
    <n v="702"/>
    <n v="469414317"/>
    <x v="3"/>
    <x v="0"/>
    <x v="34"/>
    <x v="2"/>
    <x v="20"/>
    <x v="3"/>
    <n v="8983"/>
    <n v="795803.97"/>
  </r>
  <r>
    <n v="703"/>
    <n v="867360150"/>
    <x v="5"/>
    <x v="1"/>
    <x v="27"/>
    <x v="1"/>
    <x v="12"/>
    <x v="4"/>
    <n v="9998"/>
    <n v="734253.12"/>
  </r>
  <r>
    <n v="704"/>
    <n v="851299941"/>
    <x v="5"/>
    <x v="1"/>
    <x v="13"/>
    <x v="3"/>
    <x v="14"/>
    <x v="3"/>
    <n v="7425"/>
    <n v="545292"/>
  </r>
  <r>
    <n v="705"/>
    <n v="854095017"/>
    <x v="9"/>
    <x v="0"/>
    <x v="21"/>
    <x v="3"/>
    <x v="10"/>
    <x v="3"/>
    <n v="4550"/>
    <n v="71253"/>
  </r>
  <r>
    <n v="706"/>
    <n v="478919208"/>
    <x v="1"/>
    <x v="0"/>
    <x v="71"/>
    <x v="0"/>
    <x v="1"/>
    <x v="1"/>
    <n v="1691"/>
    <n v="106752.83"/>
  </r>
  <r>
    <n v="707"/>
    <n v="749258840"/>
    <x v="5"/>
    <x v="0"/>
    <x v="17"/>
    <x v="2"/>
    <x v="8"/>
    <x v="0"/>
    <n v="1196"/>
    <n v="87834.240000000005"/>
  </r>
  <r>
    <n v="708"/>
    <n v="958912742"/>
    <x v="2"/>
    <x v="0"/>
    <x v="7"/>
    <x v="1"/>
    <x v="26"/>
    <x v="1"/>
    <n v="2444"/>
    <n v="234281.84"/>
  </r>
  <r>
    <n v="709"/>
    <n v="921992242"/>
    <x v="10"/>
    <x v="1"/>
    <x v="11"/>
    <x v="3"/>
    <x v="16"/>
    <x v="4"/>
    <n v="6848"/>
    <n v="171610.88"/>
  </r>
  <r>
    <n v="710"/>
    <n v="522921168"/>
    <x v="1"/>
    <x v="1"/>
    <x v="52"/>
    <x v="3"/>
    <x v="14"/>
    <x v="3"/>
    <n v="2849"/>
    <n v="179857.37"/>
  </r>
  <r>
    <n v="711"/>
    <n v="166435849"/>
    <x v="10"/>
    <x v="0"/>
    <x v="68"/>
    <x v="1"/>
    <x v="22"/>
    <x v="1"/>
    <n v="921"/>
    <n v="23080.26"/>
  </r>
  <r>
    <n v="712"/>
    <n v="327585113"/>
    <x v="2"/>
    <x v="0"/>
    <x v="64"/>
    <x v="0"/>
    <x v="15"/>
    <x v="0"/>
    <n v="8569"/>
    <n v="821424.34"/>
  </r>
  <r>
    <n v="713"/>
    <n v="201730287"/>
    <x v="5"/>
    <x v="0"/>
    <x v="24"/>
    <x v="3"/>
    <x v="3"/>
    <x v="2"/>
    <n v="5330"/>
    <n v="391435.2"/>
  </r>
  <r>
    <n v="714"/>
    <n v="854545199"/>
    <x v="4"/>
    <x v="0"/>
    <x v="53"/>
    <x v="2"/>
    <x v="24"/>
    <x v="3"/>
    <n v="7769"/>
    <n v="18723.29"/>
  </r>
  <r>
    <n v="715"/>
    <n v="272016179"/>
    <x v="10"/>
    <x v="1"/>
    <x v="30"/>
    <x v="2"/>
    <x v="24"/>
    <x v="3"/>
    <n v="4487"/>
    <n v="112444.22"/>
  </r>
  <r>
    <n v="716"/>
    <n v="110442054"/>
    <x v="3"/>
    <x v="0"/>
    <x v="0"/>
    <x v="0"/>
    <x v="4"/>
    <x v="3"/>
    <n v="1113"/>
    <n v="98600.67"/>
  </r>
  <r>
    <n v="717"/>
    <n v="746434152"/>
    <x v="7"/>
    <x v="0"/>
    <x v="25"/>
    <x v="3"/>
    <x v="5"/>
    <x v="4"/>
    <n v="5308"/>
    <n v="879694.84"/>
  </r>
  <r>
    <n v="718"/>
    <n v="826916301"/>
    <x v="1"/>
    <x v="1"/>
    <x v="41"/>
    <x v="0"/>
    <x v="13"/>
    <x v="3"/>
    <n v="1764"/>
    <n v="111361.32"/>
  </r>
  <r>
    <n v="719"/>
    <n v="419124829"/>
    <x v="9"/>
    <x v="0"/>
    <x v="36"/>
    <x v="2"/>
    <x v="16"/>
    <x v="4"/>
    <n v="7206"/>
    <n v="112845.96"/>
  </r>
  <r>
    <n v="720"/>
    <n v="560608565"/>
    <x v="8"/>
    <x v="1"/>
    <x v="76"/>
    <x v="2"/>
    <x v="17"/>
    <x v="1"/>
    <n v="5387"/>
    <n v="680108.75"/>
  </r>
  <r>
    <n v="721"/>
    <n v="109228837"/>
    <x v="8"/>
    <x v="0"/>
    <x v="64"/>
    <x v="0"/>
    <x v="21"/>
    <x v="2"/>
    <n v="2095"/>
    <n v="264493.75"/>
  </r>
  <r>
    <n v="722"/>
    <n v="693159472"/>
    <x v="5"/>
    <x v="0"/>
    <x v="13"/>
    <x v="3"/>
    <x v="19"/>
    <x v="1"/>
    <n v="146"/>
    <n v="10722.24"/>
  </r>
  <r>
    <n v="723"/>
    <n v="860886800"/>
    <x v="6"/>
    <x v="0"/>
    <x v="64"/>
    <x v="0"/>
    <x v="2"/>
    <x v="2"/>
    <n v="4390"/>
    <n v="242064.6"/>
  </r>
  <r>
    <n v="724"/>
    <n v="131209647"/>
    <x v="4"/>
    <x v="0"/>
    <x v="83"/>
    <x v="1"/>
    <x v="27"/>
    <x v="3"/>
    <n v="6705"/>
    <n v="16159.05"/>
  </r>
  <r>
    <n v="725"/>
    <n v="343239343"/>
    <x v="8"/>
    <x v="1"/>
    <x v="67"/>
    <x v="1"/>
    <x v="12"/>
    <x v="4"/>
    <n v="1004"/>
    <n v="126755"/>
  </r>
  <r>
    <n v="726"/>
    <n v="706399714"/>
    <x v="5"/>
    <x v="1"/>
    <x v="14"/>
    <x v="1"/>
    <x v="19"/>
    <x v="1"/>
    <n v="8228"/>
    <n v="604264.31999999995"/>
  </r>
  <r>
    <n v="727"/>
    <n v="950427091"/>
    <x v="8"/>
    <x v="1"/>
    <x v="20"/>
    <x v="2"/>
    <x v="3"/>
    <x v="2"/>
    <n v="1352"/>
    <n v="170690"/>
  </r>
  <r>
    <n v="728"/>
    <n v="875370299"/>
    <x v="6"/>
    <x v="0"/>
    <x v="79"/>
    <x v="0"/>
    <x v="20"/>
    <x v="3"/>
    <n v="379"/>
    <n v="20898.060000000001"/>
  </r>
  <r>
    <n v="729"/>
    <n v="801590669"/>
    <x v="5"/>
    <x v="1"/>
    <x v="13"/>
    <x v="3"/>
    <x v="4"/>
    <x v="3"/>
    <n v="7347"/>
    <n v="539563.68000000005"/>
  </r>
  <r>
    <n v="730"/>
    <n v="219762027"/>
    <x v="10"/>
    <x v="0"/>
    <x v="35"/>
    <x v="1"/>
    <x v="17"/>
    <x v="1"/>
    <n v="1322"/>
    <n v="33129.32"/>
  </r>
  <r>
    <n v="731"/>
    <n v="940870702"/>
    <x v="3"/>
    <x v="0"/>
    <x v="42"/>
    <x v="0"/>
    <x v="16"/>
    <x v="4"/>
    <n v="3404"/>
    <n v="301560.36"/>
  </r>
  <r>
    <n v="732"/>
    <n v="346215522"/>
    <x v="4"/>
    <x v="1"/>
    <x v="58"/>
    <x v="3"/>
    <x v="22"/>
    <x v="1"/>
    <n v="1721"/>
    <n v="4147.6099999999997"/>
  </r>
  <r>
    <n v="733"/>
    <n v="837407815"/>
    <x v="5"/>
    <x v="0"/>
    <x v="60"/>
    <x v="2"/>
    <x v="16"/>
    <x v="4"/>
    <n v="6436"/>
    <n v="472659.84"/>
  </r>
  <r>
    <n v="734"/>
    <n v="386371409"/>
    <x v="11"/>
    <x v="1"/>
    <x v="76"/>
    <x v="2"/>
    <x v="25"/>
    <x v="2"/>
    <n v="4741"/>
    <n v="271185.2"/>
  </r>
  <r>
    <n v="735"/>
    <n v="185342633"/>
    <x v="9"/>
    <x v="0"/>
    <x v="32"/>
    <x v="0"/>
    <x v="10"/>
    <x v="3"/>
    <n v="5859"/>
    <n v="91751.94"/>
  </r>
  <r>
    <n v="736"/>
    <n v="596870315"/>
    <x v="6"/>
    <x v="0"/>
    <x v="23"/>
    <x v="3"/>
    <x v="15"/>
    <x v="0"/>
    <n v="6045"/>
    <n v="333321.3"/>
  </r>
  <r>
    <n v="737"/>
    <n v="703815782"/>
    <x v="11"/>
    <x v="1"/>
    <x v="62"/>
    <x v="0"/>
    <x v="16"/>
    <x v="4"/>
    <n v="3585"/>
    <n v="205062"/>
  </r>
  <r>
    <n v="738"/>
    <n v="559352862"/>
    <x v="10"/>
    <x v="1"/>
    <x v="3"/>
    <x v="1"/>
    <x v="8"/>
    <x v="0"/>
    <n v="3797"/>
    <n v="95152.82"/>
  </r>
  <r>
    <n v="739"/>
    <n v="736967885"/>
    <x v="0"/>
    <x v="0"/>
    <x v="21"/>
    <x v="3"/>
    <x v="25"/>
    <x v="2"/>
    <n v="4029"/>
    <n v="700522.23"/>
  </r>
  <r>
    <n v="740"/>
    <n v="980459678"/>
    <x v="5"/>
    <x v="0"/>
    <x v="8"/>
    <x v="3"/>
    <x v="10"/>
    <x v="3"/>
    <n v="8661"/>
    <n v="636063.84"/>
  </r>
  <r>
    <n v="741"/>
    <n v="653939568"/>
    <x v="1"/>
    <x v="0"/>
    <x v="5"/>
    <x v="0"/>
    <x v="7"/>
    <x v="3"/>
    <n v="4105"/>
    <n v="259148.65"/>
  </r>
  <r>
    <n v="742"/>
    <n v="991831386"/>
    <x v="0"/>
    <x v="1"/>
    <x v="25"/>
    <x v="3"/>
    <x v="24"/>
    <x v="3"/>
    <n v="3803"/>
    <n v="661227.61"/>
  </r>
  <r>
    <n v="743"/>
    <n v="148871457"/>
    <x v="3"/>
    <x v="1"/>
    <x v="90"/>
    <x v="1"/>
    <x v="27"/>
    <x v="3"/>
    <n v="3227"/>
    <n v="285879.93"/>
  </r>
  <r>
    <n v="744"/>
    <n v="850108611"/>
    <x v="4"/>
    <x v="1"/>
    <x v="54"/>
    <x v="3"/>
    <x v="28"/>
    <x v="2"/>
    <n v="4884"/>
    <n v="11770.44"/>
  </r>
  <r>
    <n v="745"/>
    <n v="940904176"/>
    <x v="8"/>
    <x v="0"/>
    <x v="9"/>
    <x v="0"/>
    <x v="23"/>
    <x v="1"/>
    <n v="3309"/>
    <n v="417761.25"/>
  </r>
  <r>
    <n v="746"/>
    <n v="136931979"/>
    <x v="8"/>
    <x v="0"/>
    <x v="10"/>
    <x v="0"/>
    <x v="15"/>
    <x v="0"/>
    <n v="70"/>
    <n v="8837.5"/>
  </r>
  <r>
    <n v="747"/>
    <n v="474178349"/>
    <x v="9"/>
    <x v="0"/>
    <x v="88"/>
    <x v="2"/>
    <x v="21"/>
    <x v="2"/>
    <n v="8766"/>
    <n v="137275.56"/>
  </r>
  <r>
    <n v="748"/>
    <n v="458942115"/>
    <x v="10"/>
    <x v="0"/>
    <x v="60"/>
    <x v="2"/>
    <x v="3"/>
    <x v="2"/>
    <n v="25"/>
    <n v="626.5"/>
  </r>
  <r>
    <n v="749"/>
    <n v="917834603"/>
    <x v="9"/>
    <x v="0"/>
    <x v="23"/>
    <x v="3"/>
    <x v="10"/>
    <x v="3"/>
    <n v="6510"/>
    <n v="101946.6"/>
  </r>
  <r>
    <n v="750"/>
    <n v="947779643"/>
    <x v="10"/>
    <x v="0"/>
    <x v="12"/>
    <x v="0"/>
    <x v="0"/>
    <x v="0"/>
    <n v="7913"/>
    <n v="198299.78"/>
  </r>
  <r>
    <n v="751"/>
    <n v="166013562"/>
    <x v="5"/>
    <x v="1"/>
    <x v="89"/>
    <x v="0"/>
    <x v="19"/>
    <x v="1"/>
    <n v="5957"/>
    <n v="437482.08"/>
  </r>
  <r>
    <n v="752"/>
    <n v="960085189"/>
    <x v="9"/>
    <x v="1"/>
    <x v="13"/>
    <x v="3"/>
    <x v="6"/>
    <x v="2"/>
    <n v="9397"/>
    <n v="147157.01999999999"/>
  </r>
  <r>
    <n v="753"/>
    <n v="837855851"/>
    <x v="0"/>
    <x v="0"/>
    <x v="72"/>
    <x v="0"/>
    <x v="23"/>
    <x v="1"/>
    <n v="9020"/>
    <n v="1568307.4"/>
  </r>
  <r>
    <n v="754"/>
    <n v="977499377"/>
    <x v="6"/>
    <x v="0"/>
    <x v="14"/>
    <x v="1"/>
    <x v="14"/>
    <x v="3"/>
    <n v="2643"/>
    <n v="145735.01999999999"/>
  </r>
  <r>
    <n v="755"/>
    <n v="377502095"/>
    <x v="9"/>
    <x v="1"/>
    <x v="61"/>
    <x v="3"/>
    <x v="18"/>
    <x v="2"/>
    <n v="114"/>
    <n v="1785.24"/>
  </r>
  <r>
    <n v="756"/>
    <n v="806662833"/>
    <x v="11"/>
    <x v="0"/>
    <x v="73"/>
    <x v="3"/>
    <x v="11"/>
    <x v="1"/>
    <n v="8313"/>
    <n v="475503.6"/>
  </r>
  <r>
    <n v="757"/>
    <n v="954092919"/>
    <x v="1"/>
    <x v="1"/>
    <x v="75"/>
    <x v="1"/>
    <x v="20"/>
    <x v="3"/>
    <n v="6152"/>
    <n v="388375.76"/>
  </r>
  <r>
    <n v="758"/>
    <n v="479216182"/>
    <x v="11"/>
    <x v="1"/>
    <x v="70"/>
    <x v="1"/>
    <x v="18"/>
    <x v="2"/>
    <n v="9572"/>
    <n v="547518.4"/>
  </r>
  <r>
    <n v="759"/>
    <n v="461768949"/>
    <x v="10"/>
    <x v="1"/>
    <x v="80"/>
    <x v="0"/>
    <x v="22"/>
    <x v="1"/>
    <n v="6548"/>
    <n v="164092.88"/>
  </r>
  <r>
    <n v="760"/>
    <n v="251800048"/>
    <x v="11"/>
    <x v="1"/>
    <x v="35"/>
    <x v="1"/>
    <x v="20"/>
    <x v="3"/>
    <n v="2085"/>
    <n v="119262"/>
  </r>
  <r>
    <n v="761"/>
    <n v="619670808"/>
    <x v="10"/>
    <x v="0"/>
    <x v="49"/>
    <x v="3"/>
    <x v="8"/>
    <x v="0"/>
    <n v="3217"/>
    <n v="80618.02"/>
  </r>
  <r>
    <n v="762"/>
    <n v="606055057"/>
    <x v="7"/>
    <x v="0"/>
    <x v="80"/>
    <x v="0"/>
    <x v="15"/>
    <x v="0"/>
    <n v="4014"/>
    <n v="665240.22"/>
  </r>
  <r>
    <n v="763"/>
    <n v="671939122"/>
    <x v="2"/>
    <x v="1"/>
    <x v="49"/>
    <x v="3"/>
    <x v="25"/>
    <x v="2"/>
    <n v="573"/>
    <n v="54927.78"/>
  </r>
  <r>
    <n v="764"/>
    <n v="448621833"/>
    <x v="0"/>
    <x v="0"/>
    <x v="61"/>
    <x v="3"/>
    <x v="11"/>
    <x v="1"/>
    <n v="6025"/>
    <n v="1047566.75"/>
  </r>
  <r>
    <n v="765"/>
    <n v="987714517"/>
    <x v="4"/>
    <x v="1"/>
    <x v="74"/>
    <x v="2"/>
    <x v="4"/>
    <x v="3"/>
    <n v="5530"/>
    <n v="13327.3"/>
  </r>
  <r>
    <n v="766"/>
    <n v="711141002"/>
    <x v="7"/>
    <x v="1"/>
    <x v="44"/>
    <x v="1"/>
    <x v="8"/>
    <x v="0"/>
    <n v="1280"/>
    <n v="212134.39999999999"/>
  </r>
  <r>
    <n v="767"/>
    <n v="361137616"/>
    <x v="8"/>
    <x v="1"/>
    <x v="45"/>
    <x v="3"/>
    <x v="15"/>
    <x v="0"/>
    <n v="7501"/>
    <n v="947001.25"/>
  </r>
  <r>
    <n v="768"/>
    <n v="750253188"/>
    <x v="7"/>
    <x v="0"/>
    <x v="37"/>
    <x v="0"/>
    <x v="12"/>
    <x v="4"/>
    <n v="5446"/>
    <n v="902565.58"/>
  </r>
  <r>
    <n v="769"/>
    <n v="511349046"/>
    <x v="8"/>
    <x v="1"/>
    <x v="79"/>
    <x v="0"/>
    <x v="9"/>
    <x v="2"/>
    <n v="8401"/>
    <n v="1060626.25"/>
  </r>
  <r>
    <n v="770"/>
    <n v="147599017"/>
    <x v="10"/>
    <x v="0"/>
    <x v="4"/>
    <x v="2"/>
    <x v="16"/>
    <x v="4"/>
    <n v="6684"/>
    <n v="167501.04"/>
  </r>
  <r>
    <n v="771"/>
    <n v="682489430"/>
    <x v="9"/>
    <x v="1"/>
    <x v="38"/>
    <x v="1"/>
    <x v="2"/>
    <x v="2"/>
    <n v="2644"/>
    <n v="41405.040000000001"/>
  </r>
  <r>
    <n v="772"/>
    <n v="509819114"/>
    <x v="1"/>
    <x v="0"/>
    <x v="28"/>
    <x v="3"/>
    <x v="22"/>
    <x v="1"/>
    <n v="5660"/>
    <n v="357315.8"/>
  </r>
  <r>
    <n v="773"/>
    <n v="343699395"/>
    <x v="8"/>
    <x v="0"/>
    <x v="87"/>
    <x v="3"/>
    <x v="11"/>
    <x v="1"/>
    <n v="7144"/>
    <n v="901930"/>
  </r>
  <r>
    <n v="774"/>
    <n v="968554103"/>
    <x v="5"/>
    <x v="0"/>
    <x v="70"/>
    <x v="1"/>
    <x v="10"/>
    <x v="3"/>
    <n v="5537"/>
    <n v="406637.28"/>
  </r>
  <r>
    <n v="775"/>
    <n v="989119565"/>
    <x v="9"/>
    <x v="1"/>
    <x v="9"/>
    <x v="0"/>
    <x v="10"/>
    <x v="3"/>
    <n v="1315"/>
    <n v="20592.900000000001"/>
  </r>
  <r>
    <n v="776"/>
    <n v="880444610"/>
    <x v="1"/>
    <x v="0"/>
    <x v="19"/>
    <x v="2"/>
    <x v="1"/>
    <x v="1"/>
    <n v="1980"/>
    <n v="124997.4"/>
  </r>
  <r>
    <n v="777"/>
    <n v="737890565"/>
    <x v="1"/>
    <x v="0"/>
    <x v="10"/>
    <x v="0"/>
    <x v="13"/>
    <x v="3"/>
    <n v="7071"/>
    <n v="446392.23"/>
  </r>
  <r>
    <n v="778"/>
    <n v="727131259"/>
    <x v="1"/>
    <x v="1"/>
    <x v="46"/>
    <x v="1"/>
    <x v="20"/>
    <x v="3"/>
    <n v="3153"/>
    <n v="199048.89"/>
  </r>
  <r>
    <n v="779"/>
    <n v="634153020"/>
    <x v="8"/>
    <x v="0"/>
    <x v="6"/>
    <x v="3"/>
    <x v="19"/>
    <x v="1"/>
    <n v="8826"/>
    <n v="1114282.5"/>
  </r>
  <r>
    <n v="780"/>
    <n v="315254676"/>
    <x v="9"/>
    <x v="1"/>
    <x v="65"/>
    <x v="2"/>
    <x v="18"/>
    <x v="2"/>
    <n v="9719"/>
    <n v="152199.54"/>
  </r>
  <r>
    <n v="781"/>
    <n v="147047555"/>
    <x v="10"/>
    <x v="0"/>
    <x v="51"/>
    <x v="2"/>
    <x v="26"/>
    <x v="1"/>
    <n v="3494"/>
    <n v="87559.64"/>
  </r>
  <r>
    <n v="782"/>
    <n v="576455485"/>
    <x v="7"/>
    <x v="1"/>
    <x v="49"/>
    <x v="3"/>
    <x v="25"/>
    <x v="2"/>
    <n v="4843"/>
    <n v="802630.39"/>
  </r>
  <r>
    <n v="783"/>
    <n v="770714795"/>
    <x v="6"/>
    <x v="0"/>
    <x v="51"/>
    <x v="2"/>
    <x v="0"/>
    <x v="0"/>
    <n v="490"/>
    <n v="27018.6"/>
  </r>
  <r>
    <n v="784"/>
    <n v="867374312"/>
    <x v="0"/>
    <x v="0"/>
    <x v="77"/>
    <x v="2"/>
    <x v="8"/>
    <x v="0"/>
    <n v="4189"/>
    <n v="728341.43"/>
  </r>
  <r>
    <n v="785"/>
    <n v="624295365"/>
    <x v="4"/>
    <x v="1"/>
    <x v="31"/>
    <x v="1"/>
    <x v="14"/>
    <x v="3"/>
    <n v="1727"/>
    <n v="4162.07"/>
  </r>
  <r>
    <n v="786"/>
    <n v="769651782"/>
    <x v="5"/>
    <x v="0"/>
    <x v="32"/>
    <x v="0"/>
    <x v="19"/>
    <x v="1"/>
    <n v="5921"/>
    <n v="434838.24"/>
  </r>
  <r>
    <n v="787"/>
    <n v="751929891"/>
    <x v="1"/>
    <x v="1"/>
    <x v="76"/>
    <x v="2"/>
    <x v="19"/>
    <x v="1"/>
    <n v="1619"/>
    <n v="102207.47"/>
  </r>
  <r>
    <n v="788"/>
    <n v="989928519"/>
    <x v="8"/>
    <x v="1"/>
    <x v="3"/>
    <x v="1"/>
    <x v="7"/>
    <x v="3"/>
    <n v="702"/>
    <n v="88627.5"/>
  </r>
  <r>
    <n v="789"/>
    <n v="622758996"/>
    <x v="11"/>
    <x v="0"/>
    <x v="65"/>
    <x v="2"/>
    <x v="8"/>
    <x v="0"/>
    <n v="7081"/>
    <n v="405033.2"/>
  </r>
  <r>
    <n v="790"/>
    <n v="659845149"/>
    <x v="2"/>
    <x v="1"/>
    <x v="25"/>
    <x v="3"/>
    <x v="7"/>
    <x v="3"/>
    <n v="1698"/>
    <n v="162770.28"/>
  </r>
  <r>
    <n v="791"/>
    <n v="830923306"/>
    <x v="2"/>
    <x v="0"/>
    <x v="50"/>
    <x v="1"/>
    <x v="3"/>
    <x v="2"/>
    <n v="7526"/>
    <n v="721442.36"/>
  </r>
  <r>
    <n v="792"/>
    <n v="936042296"/>
    <x v="9"/>
    <x v="0"/>
    <x v="11"/>
    <x v="3"/>
    <x v="4"/>
    <x v="3"/>
    <n v="4571"/>
    <n v="71581.86"/>
  </r>
  <r>
    <n v="793"/>
    <n v="395563447"/>
    <x v="7"/>
    <x v="1"/>
    <x v="54"/>
    <x v="3"/>
    <x v="22"/>
    <x v="1"/>
    <n v="4869"/>
    <n v="806939.37"/>
  </r>
  <r>
    <n v="794"/>
    <n v="500160586"/>
    <x v="11"/>
    <x v="0"/>
    <x v="69"/>
    <x v="1"/>
    <x v="25"/>
    <x v="2"/>
    <n v="7487"/>
    <n v="428256.4"/>
  </r>
  <r>
    <n v="795"/>
    <n v="360820043"/>
    <x v="4"/>
    <x v="1"/>
    <x v="86"/>
    <x v="1"/>
    <x v="7"/>
    <x v="3"/>
    <n v="3524"/>
    <n v="8492.84"/>
  </r>
  <r>
    <n v="796"/>
    <n v="958840644"/>
    <x v="6"/>
    <x v="1"/>
    <x v="31"/>
    <x v="1"/>
    <x v="7"/>
    <x v="3"/>
    <n v="1109"/>
    <n v="61150.26"/>
  </r>
  <r>
    <n v="797"/>
    <n v="195833718"/>
    <x v="2"/>
    <x v="1"/>
    <x v="21"/>
    <x v="3"/>
    <x v="15"/>
    <x v="0"/>
    <n v="404"/>
    <n v="38727.440000000002"/>
  </r>
  <r>
    <n v="798"/>
    <n v="543723094"/>
    <x v="10"/>
    <x v="0"/>
    <x v="46"/>
    <x v="1"/>
    <x v="13"/>
    <x v="3"/>
    <n v="8601"/>
    <n v="215541.06"/>
  </r>
  <r>
    <n v="799"/>
    <n v="494745099"/>
    <x v="0"/>
    <x v="0"/>
    <x v="66"/>
    <x v="0"/>
    <x v="14"/>
    <x v="3"/>
    <n v="4924"/>
    <n v="856135.88"/>
  </r>
  <r>
    <n v="800"/>
    <n v="411448562"/>
    <x v="1"/>
    <x v="1"/>
    <x v="31"/>
    <x v="1"/>
    <x v="27"/>
    <x v="3"/>
    <n v="5628"/>
    <n v="355295.64"/>
  </r>
  <r>
    <n v="801"/>
    <n v="276694810"/>
    <x v="10"/>
    <x v="0"/>
    <x v="52"/>
    <x v="3"/>
    <x v="14"/>
    <x v="3"/>
    <n v="8998"/>
    <n v="225489.88"/>
  </r>
  <r>
    <n v="802"/>
    <n v="143657672"/>
    <x v="8"/>
    <x v="0"/>
    <x v="12"/>
    <x v="0"/>
    <x v="4"/>
    <x v="3"/>
    <n v="352"/>
    <n v="44440"/>
  </r>
  <r>
    <n v="803"/>
    <n v="585823476"/>
    <x v="2"/>
    <x v="1"/>
    <x v="81"/>
    <x v="0"/>
    <x v="16"/>
    <x v="4"/>
    <n v="7040"/>
    <n v="674854.40000000002"/>
  </r>
  <r>
    <n v="804"/>
    <n v="446991050"/>
    <x v="5"/>
    <x v="1"/>
    <x v="41"/>
    <x v="0"/>
    <x v="12"/>
    <x v="4"/>
    <n v="3440"/>
    <n v="252633.60000000001"/>
  </r>
  <r>
    <n v="805"/>
    <n v="891271722"/>
    <x v="5"/>
    <x v="0"/>
    <x v="52"/>
    <x v="3"/>
    <x v="9"/>
    <x v="2"/>
    <n v="5963"/>
    <n v="437922.72"/>
  </r>
  <r>
    <n v="806"/>
    <n v="453089320"/>
    <x v="0"/>
    <x v="1"/>
    <x v="31"/>
    <x v="1"/>
    <x v="1"/>
    <x v="1"/>
    <n v="8053"/>
    <n v="1400175.11"/>
  </r>
  <r>
    <n v="807"/>
    <n v="887180173"/>
    <x v="2"/>
    <x v="0"/>
    <x v="30"/>
    <x v="2"/>
    <x v="16"/>
    <x v="4"/>
    <n v="5183"/>
    <n v="496842.38"/>
  </r>
  <r>
    <n v="808"/>
    <n v="418593108"/>
    <x v="0"/>
    <x v="1"/>
    <x v="58"/>
    <x v="3"/>
    <x v="17"/>
    <x v="1"/>
    <n v="9858"/>
    <n v="1714010.46"/>
  </r>
  <r>
    <n v="809"/>
    <n v="492689454"/>
    <x v="10"/>
    <x v="1"/>
    <x v="51"/>
    <x v="2"/>
    <x v="25"/>
    <x v="2"/>
    <n v="6613"/>
    <n v="165721.78"/>
  </r>
  <r>
    <n v="810"/>
    <n v="825143039"/>
    <x v="0"/>
    <x v="1"/>
    <x v="41"/>
    <x v="0"/>
    <x v="12"/>
    <x v="4"/>
    <n v="7017"/>
    <n v="1220045.79"/>
  </r>
  <r>
    <n v="811"/>
    <n v="751940190"/>
    <x v="1"/>
    <x v="1"/>
    <x v="32"/>
    <x v="0"/>
    <x v="14"/>
    <x v="3"/>
    <n v="4667"/>
    <n v="294627.71000000002"/>
  </r>
  <r>
    <n v="812"/>
    <n v="579379737"/>
    <x v="2"/>
    <x v="0"/>
    <x v="34"/>
    <x v="2"/>
    <x v="0"/>
    <x v="0"/>
    <n v="194"/>
    <n v="18596.84"/>
  </r>
  <r>
    <n v="813"/>
    <n v="234073007"/>
    <x v="11"/>
    <x v="1"/>
    <x v="37"/>
    <x v="0"/>
    <x v="0"/>
    <x v="0"/>
    <n v="6259"/>
    <n v="358014.8"/>
  </r>
  <r>
    <n v="814"/>
    <n v="612943828"/>
    <x v="11"/>
    <x v="1"/>
    <x v="73"/>
    <x v="3"/>
    <x v="26"/>
    <x v="1"/>
    <n v="2554"/>
    <n v="146088.79999999999"/>
  </r>
  <r>
    <n v="815"/>
    <n v="433228528"/>
    <x v="4"/>
    <x v="1"/>
    <x v="62"/>
    <x v="0"/>
    <x v="17"/>
    <x v="1"/>
    <n v="804"/>
    <n v="1937.64"/>
  </r>
  <r>
    <n v="816"/>
    <n v="282475936"/>
    <x v="4"/>
    <x v="1"/>
    <x v="72"/>
    <x v="0"/>
    <x v="18"/>
    <x v="2"/>
    <n v="9762"/>
    <n v="23526.42"/>
  </r>
  <r>
    <n v="817"/>
    <n v="368547379"/>
    <x v="11"/>
    <x v="1"/>
    <x v="16"/>
    <x v="2"/>
    <x v="28"/>
    <x v="2"/>
    <n v="214"/>
    <n v="12240.8"/>
  </r>
  <r>
    <n v="818"/>
    <n v="969616687"/>
    <x v="11"/>
    <x v="0"/>
    <x v="48"/>
    <x v="1"/>
    <x v="6"/>
    <x v="2"/>
    <n v="9980"/>
    <n v="570856"/>
  </r>
  <r>
    <n v="819"/>
    <n v="184170186"/>
    <x v="2"/>
    <x v="1"/>
    <x v="54"/>
    <x v="3"/>
    <x v="15"/>
    <x v="0"/>
    <n v="8906"/>
    <n v="853729.16"/>
  </r>
  <r>
    <n v="820"/>
    <n v="681006705"/>
    <x v="4"/>
    <x v="1"/>
    <x v="70"/>
    <x v="1"/>
    <x v="3"/>
    <x v="2"/>
    <n v="3872"/>
    <n v="9331.52"/>
  </r>
  <r>
    <n v="821"/>
    <n v="249237573"/>
    <x v="2"/>
    <x v="1"/>
    <x v="87"/>
    <x v="3"/>
    <x v="2"/>
    <x v="2"/>
    <n v="3791"/>
    <n v="363405.26"/>
  </r>
  <r>
    <n v="822"/>
    <n v="348286616"/>
    <x v="1"/>
    <x v="0"/>
    <x v="23"/>
    <x v="3"/>
    <x v="25"/>
    <x v="2"/>
    <n v="4604"/>
    <n v="290650.52"/>
  </r>
  <r>
    <n v="823"/>
    <n v="257890164"/>
    <x v="5"/>
    <x v="0"/>
    <x v="81"/>
    <x v="0"/>
    <x v="1"/>
    <x v="1"/>
    <n v="4285"/>
    <n v="314690.40000000002"/>
  </r>
  <r>
    <n v="824"/>
    <n v="228097045"/>
    <x v="0"/>
    <x v="1"/>
    <x v="90"/>
    <x v="1"/>
    <x v="5"/>
    <x v="4"/>
    <n v="7839"/>
    <n v="1362966.93"/>
  </r>
  <r>
    <n v="825"/>
    <n v="129268586"/>
    <x v="3"/>
    <x v="1"/>
    <x v="90"/>
    <x v="1"/>
    <x v="22"/>
    <x v="1"/>
    <n v="2302"/>
    <n v="203934.18"/>
  </r>
  <r>
    <n v="826"/>
    <n v="802078616"/>
    <x v="0"/>
    <x v="1"/>
    <x v="89"/>
    <x v="0"/>
    <x v="3"/>
    <x v="2"/>
    <n v="1741"/>
    <n v="302707.67"/>
  </r>
  <r>
    <n v="827"/>
    <n v="907513463"/>
    <x v="5"/>
    <x v="0"/>
    <x v="3"/>
    <x v="1"/>
    <x v="13"/>
    <x v="3"/>
    <n v="2256"/>
    <n v="165680.64000000001"/>
  </r>
  <r>
    <n v="828"/>
    <n v="976871955"/>
    <x v="1"/>
    <x v="1"/>
    <x v="51"/>
    <x v="2"/>
    <x v="13"/>
    <x v="3"/>
    <n v="6975"/>
    <n v="440331.75"/>
  </r>
  <r>
    <n v="829"/>
    <n v="261765420"/>
    <x v="3"/>
    <x v="0"/>
    <x v="7"/>
    <x v="1"/>
    <x v="15"/>
    <x v="0"/>
    <n v="1060"/>
    <n v="93905.4"/>
  </r>
  <r>
    <n v="830"/>
    <n v="784117686"/>
    <x v="1"/>
    <x v="0"/>
    <x v="60"/>
    <x v="2"/>
    <x v="20"/>
    <x v="3"/>
    <n v="6703"/>
    <n v="423160.39"/>
  </r>
  <r>
    <n v="831"/>
    <n v="586165082"/>
    <x v="0"/>
    <x v="0"/>
    <x v="23"/>
    <x v="3"/>
    <x v="8"/>
    <x v="0"/>
    <n v="8128"/>
    <n v="1413215.36"/>
  </r>
  <r>
    <n v="832"/>
    <n v="480456435"/>
    <x v="6"/>
    <x v="1"/>
    <x v="71"/>
    <x v="0"/>
    <x v="22"/>
    <x v="1"/>
    <n v="6591"/>
    <n v="363427.74"/>
  </r>
  <r>
    <n v="833"/>
    <n v="899853074"/>
    <x v="3"/>
    <x v="1"/>
    <x v="37"/>
    <x v="0"/>
    <x v="26"/>
    <x v="1"/>
    <n v="5376"/>
    <n v="476259.84000000003"/>
  </r>
  <r>
    <n v="834"/>
    <n v="547528827"/>
    <x v="2"/>
    <x v="0"/>
    <x v="42"/>
    <x v="0"/>
    <x v="24"/>
    <x v="3"/>
    <n v="4802"/>
    <n v="460319.72"/>
  </r>
  <r>
    <n v="835"/>
    <n v="446970021"/>
    <x v="1"/>
    <x v="1"/>
    <x v="44"/>
    <x v="1"/>
    <x v="5"/>
    <x v="4"/>
    <n v="7217"/>
    <n v="455609.21"/>
  </r>
  <r>
    <n v="836"/>
    <n v="791975486"/>
    <x v="9"/>
    <x v="0"/>
    <x v="85"/>
    <x v="3"/>
    <x v="10"/>
    <x v="3"/>
    <n v="2001"/>
    <n v="31335.66"/>
  </r>
  <r>
    <n v="837"/>
    <n v="496656548"/>
    <x v="1"/>
    <x v="0"/>
    <x v="65"/>
    <x v="2"/>
    <x v="15"/>
    <x v="0"/>
    <n v="564"/>
    <n v="35605.32"/>
  </r>
  <r>
    <n v="838"/>
    <n v="345437037"/>
    <x v="1"/>
    <x v="0"/>
    <x v="68"/>
    <x v="1"/>
    <x v="17"/>
    <x v="1"/>
    <n v="1351"/>
    <n v="85288.63"/>
  </r>
  <r>
    <n v="839"/>
    <n v="743053281"/>
    <x v="1"/>
    <x v="0"/>
    <x v="8"/>
    <x v="3"/>
    <x v="13"/>
    <x v="3"/>
    <n v="4833"/>
    <n v="305107.28999999998"/>
  </r>
  <r>
    <n v="840"/>
    <n v="364554107"/>
    <x v="6"/>
    <x v="0"/>
    <x v="24"/>
    <x v="3"/>
    <x v="26"/>
    <x v="1"/>
    <n v="8516"/>
    <n v="469572.24"/>
  </r>
  <r>
    <n v="841"/>
    <n v="205300843"/>
    <x v="0"/>
    <x v="1"/>
    <x v="22"/>
    <x v="0"/>
    <x v="24"/>
    <x v="3"/>
    <n v="1937"/>
    <n v="336786.19"/>
  </r>
  <r>
    <n v="842"/>
    <n v="430967319"/>
    <x v="7"/>
    <x v="1"/>
    <x v="63"/>
    <x v="2"/>
    <x v="25"/>
    <x v="2"/>
    <n v="1661"/>
    <n v="275277.53000000003"/>
  </r>
  <r>
    <n v="843"/>
    <n v="827539861"/>
    <x v="11"/>
    <x v="0"/>
    <x v="67"/>
    <x v="1"/>
    <x v="9"/>
    <x v="2"/>
    <n v="6289"/>
    <n v="359730.8"/>
  </r>
  <r>
    <n v="844"/>
    <n v="351317298"/>
    <x v="6"/>
    <x v="0"/>
    <x v="79"/>
    <x v="0"/>
    <x v="26"/>
    <x v="1"/>
    <n v="1450"/>
    <n v="79953"/>
  </r>
  <r>
    <n v="845"/>
    <n v="278910958"/>
    <x v="7"/>
    <x v="0"/>
    <x v="73"/>
    <x v="3"/>
    <x v="19"/>
    <x v="1"/>
    <n v="4805"/>
    <n v="796332.65"/>
  </r>
  <r>
    <n v="846"/>
    <n v="157244670"/>
    <x v="0"/>
    <x v="0"/>
    <x v="52"/>
    <x v="3"/>
    <x v="17"/>
    <x v="1"/>
    <n v="1047"/>
    <n v="182041.89"/>
  </r>
  <r>
    <n v="847"/>
    <n v="953554761"/>
    <x v="9"/>
    <x v="1"/>
    <x v="27"/>
    <x v="1"/>
    <x v="2"/>
    <x v="2"/>
    <n v="6899"/>
    <n v="108038.34"/>
  </r>
  <r>
    <n v="848"/>
    <n v="105390059"/>
    <x v="3"/>
    <x v="1"/>
    <x v="60"/>
    <x v="2"/>
    <x v="13"/>
    <x v="3"/>
    <n v="6115"/>
    <n v="541727.85"/>
  </r>
  <r>
    <n v="849"/>
    <n v="970611894"/>
    <x v="0"/>
    <x v="0"/>
    <x v="0"/>
    <x v="0"/>
    <x v="19"/>
    <x v="1"/>
    <n v="4483"/>
    <n v="779459.21"/>
  </r>
  <r>
    <n v="850"/>
    <n v="677394092"/>
    <x v="2"/>
    <x v="0"/>
    <x v="41"/>
    <x v="0"/>
    <x v="24"/>
    <x v="3"/>
    <n v="4820"/>
    <n v="462045.2"/>
  </r>
  <r>
    <n v="851"/>
    <n v="474222981"/>
    <x v="2"/>
    <x v="1"/>
    <x v="63"/>
    <x v="2"/>
    <x v="1"/>
    <x v="1"/>
    <n v="1973"/>
    <n v="189131.78"/>
  </r>
  <r>
    <n v="852"/>
    <n v="779897391"/>
    <x v="6"/>
    <x v="1"/>
    <x v="15"/>
    <x v="1"/>
    <x v="18"/>
    <x v="2"/>
    <n v="7824"/>
    <n v="431415.36"/>
  </r>
  <r>
    <n v="853"/>
    <n v="733528649"/>
    <x v="6"/>
    <x v="0"/>
    <x v="57"/>
    <x v="3"/>
    <x v="11"/>
    <x v="1"/>
    <n v="6283"/>
    <n v="346444.62"/>
  </r>
  <r>
    <n v="854"/>
    <n v="444540584"/>
    <x v="8"/>
    <x v="1"/>
    <x v="46"/>
    <x v="1"/>
    <x v="8"/>
    <x v="0"/>
    <n v="8292"/>
    <n v="1046865"/>
  </r>
  <r>
    <n v="855"/>
    <n v="542669522"/>
    <x v="5"/>
    <x v="1"/>
    <x v="16"/>
    <x v="2"/>
    <x v="18"/>
    <x v="2"/>
    <n v="6826"/>
    <n v="501301.44"/>
  </r>
  <r>
    <n v="856"/>
    <n v="827964293"/>
    <x v="4"/>
    <x v="0"/>
    <x v="68"/>
    <x v="1"/>
    <x v="28"/>
    <x v="2"/>
    <n v="1888"/>
    <n v="4550.08"/>
  </r>
  <r>
    <n v="857"/>
    <n v="720786225"/>
    <x v="6"/>
    <x v="0"/>
    <x v="87"/>
    <x v="3"/>
    <x v="2"/>
    <x v="2"/>
    <n v="5516"/>
    <n v="304152.24"/>
  </r>
  <r>
    <n v="858"/>
    <n v="611809146"/>
    <x v="7"/>
    <x v="0"/>
    <x v="60"/>
    <x v="2"/>
    <x v="2"/>
    <x v="2"/>
    <n v="6777"/>
    <n v="1123152.21"/>
  </r>
  <r>
    <n v="859"/>
    <n v="512019383"/>
    <x v="10"/>
    <x v="1"/>
    <x v="71"/>
    <x v="0"/>
    <x v="11"/>
    <x v="1"/>
    <n v="6769"/>
    <n v="169631.14"/>
  </r>
  <r>
    <n v="860"/>
    <n v="502715766"/>
    <x v="10"/>
    <x v="1"/>
    <x v="65"/>
    <x v="2"/>
    <x v="17"/>
    <x v="1"/>
    <n v="3621"/>
    <n v="90742.26"/>
  </r>
  <r>
    <n v="861"/>
    <n v="285509622"/>
    <x v="8"/>
    <x v="0"/>
    <x v="32"/>
    <x v="0"/>
    <x v="13"/>
    <x v="3"/>
    <n v="7497"/>
    <n v="946496.25"/>
  </r>
  <r>
    <n v="862"/>
    <n v="532324779"/>
    <x v="9"/>
    <x v="0"/>
    <x v="79"/>
    <x v="0"/>
    <x v="24"/>
    <x v="3"/>
    <n v="5586"/>
    <n v="87476.76"/>
  </r>
  <r>
    <n v="863"/>
    <n v="635397565"/>
    <x v="10"/>
    <x v="0"/>
    <x v="72"/>
    <x v="0"/>
    <x v="27"/>
    <x v="3"/>
    <n v="7114"/>
    <n v="178276.84"/>
  </r>
  <r>
    <n v="864"/>
    <n v="957276809"/>
    <x v="3"/>
    <x v="0"/>
    <x v="37"/>
    <x v="0"/>
    <x v="16"/>
    <x v="4"/>
    <n v="8335"/>
    <n v="738397.65"/>
  </r>
  <r>
    <n v="865"/>
    <n v="580823838"/>
    <x v="6"/>
    <x v="1"/>
    <x v="61"/>
    <x v="3"/>
    <x v="19"/>
    <x v="1"/>
    <n v="7536"/>
    <n v="415535.04"/>
  </r>
  <r>
    <n v="866"/>
    <n v="459212481"/>
    <x v="8"/>
    <x v="0"/>
    <x v="44"/>
    <x v="1"/>
    <x v="10"/>
    <x v="3"/>
    <n v="33"/>
    <n v="4166.25"/>
  </r>
  <r>
    <n v="867"/>
    <n v="265929067"/>
    <x v="2"/>
    <x v="1"/>
    <x v="47"/>
    <x v="1"/>
    <x v="17"/>
    <x v="1"/>
    <n v="3175"/>
    <n v="304355.5"/>
  </r>
  <r>
    <n v="868"/>
    <n v="644772422"/>
    <x v="9"/>
    <x v="1"/>
    <x v="59"/>
    <x v="2"/>
    <x v="24"/>
    <x v="3"/>
    <n v="1343"/>
    <n v="21031.38"/>
  </r>
  <r>
    <n v="869"/>
    <n v="959853875"/>
    <x v="1"/>
    <x v="0"/>
    <x v="83"/>
    <x v="1"/>
    <x v="15"/>
    <x v="0"/>
    <n v="947"/>
    <n v="59784.11"/>
  </r>
  <r>
    <n v="870"/>
    <n v="645597255"/>
    <x v="1"/>
    <x v="1"/>
    <x v="22"/>
    <x v="0"/>
    <x v="9"/>
    <x v="2"/>
    <n v="5429"/>
    <n v="342732.77"/>
  </r>
  <r>
    <n v="871"/>
    <n v="556738889"/>
    <x v="2"/>
    <x v="0"/>
    <x v="24"/>
    <x v="3"/>
    <x v="2"/>
    <x v="2"/>
    <n v="264"/>
    <n v="25307.040000000001"/>
  </r>
  <r>
    <n v="872"/>
    <n v="718327605"/>
    <x v="1"/>
    <x v="1"/>
    <x v="53"/>
    <x v="2"/>
    <x v="19"/>
    <x v="1"/>
    <n v="7956"/>
    <n v="502262.28"/>
  </r>
  <r>
    <n v="873"/>
    <n v="775724732"/>
    <x v="2"/>
    <x v="0"/>
    <x v="6"/>
    <x v="3"/>
    <x v="15"/>
    <x v="0"/>
    <n v="3041"/>
    <n v="291510.26"/>
  </r>
  <r>
    <n v="874"/>
    <n v="444604098"/>
    <x v="2"/>
    <x v="0"/>
    <x v="66"/>
    <x v="0"/>
    <x v="7"/>
    <x v="3"/>
    <n v="7088"/>
    <n v="679455.68"/>
  </r>
  <r>
    <n v="875"/>
    <n v="860952031"/>
    <x v="9"/>
    <x v="1"/>
    <x v="50"/>
    <x v="1"/>
    <x v="24"/>
    <x v="3"/>
    <n v="3693"/>
    <n v="57832.38"/>
  </r>
  <r>
    <n v="876"/>
    <n v="531067359"/>
    <x v="11"/>
    <x v="0"/>
    <x v="52"/>
    <x v="3"/>
    <x v="14"/>
    <x v="3"/>
    <n v="3488"/>
    <n v="199513.60000000001"/>
  </r>
  <r>
    <n v="877"/>
    <n v="281561410"/>
    <x v="0"/>
    <x v="0"/>
    <x v="76"/>
    <x v="2"/>
    <x v="0"/>
    <x v="0"/>
    <n v="9133"/>
    <n v="1587954.71"/>
  </r>
  <r>
    <n v="878"/>
    <n v="109358012"/>
    <x v="10"/>
    <x v="0"/>
    <x v="26"/>
    <x v="1"/>
    <x v="18"/>
    <x v="2"/>
    <n v="321"/>
    <n v="8044.26"/>
  </r>
  <r>
    <n v="879"/>
    <n v="531693494"/>
    <x v="9"/>
    <x v="1"/>
    <x v="51"/>
    <x v="2"/>
    <x v="21"/>
    <x v="2"/>
    <n v="8775"/>
    <n v="137416.5"/>
  </r>
  <r>
    <n v="880"/>
    <n v="336116683"/>
    <x v="5"/>
    <x v="0"/>
    <x v="36"/>
    <x v="2"/>
    <x v="6"/>
    <x v="2"/>
    <n v="3251"/>
    <n v="238753.44"/>
  </r>
  <r>
    <n v="881"/>
    <n v="630488908"/>
    <x v="3"/>
    <x v="0"/>
    <x v="57"/>
    <x v="3"/>
    <x v="7"/>
    <x v="3"/>
    <n v="4534"/>
    <n v="401667.06"/>
  </r>
  <r>
    <n v="882"/>
    <n v="792983996"/>
    <x v="4"/>
    <x v="1"/>
    <x v="2"/>
    <x v="0"/>
    <x v="0"/>
    <x v="0"/>
    <n v="441"/>
    <n v="1062.81"/>
  </r>
  <r>
    <n v="883"/>
    <n v="722088277"/>
    <x v="4"/>
    <x v="1"/>
    <x v="60"/>
    <x v="2"/>
    <x v="2"/>
    <x v="2"/>
    <n v="822"/>
    <n v="1981.02"/>
  </r>
  <r>
    <n v="884"/>
    <n v="386600577"/>
    <x v="0"/>
    <x v="1"/>
    <x v="55"/>
    <x v="3"/>
    <x v="8"/>
    <x v="0"/>
    <n v="2557"/>
    <n v="444585.59"/>
  </r>
  <r>
    <n v="885"/>
    <n v="275632226"/>
    <x v="9"/>
    <x v="0"/>
    <x v="79"/>
    <x v="0"/>
    <x v="20"/>
    <x v="3"/>
    <n v="4556"/>
    <n v="71346.960000000006"/>
  </r>
  <r>
    <n v="886"/>
    <n v="948607051"/>
    <x v="1"/>
    <x v="0"/>
    <x v="89"/>
    <x v="0"/>
    <x v="6"/>
    <x v="2"/>
    <n v="2761"/>
    <n v="174301.93"/>
  </r>
  <r>
    <n v="887"/>
    <n v="785261380"/>
    <x v="3"/>
    <x v="1"/>
    <x v="68"/>
    <x v="1"/>
    <x v="12"/>
    <x v="4"/>
    <n v="5147"/>
    <n v="455972.73"/>
  </r>
  <r>
    <n v="888"/>
    <n v="935644042"/>
    <x v="3"/>
    <x v="1"/>
    <x v="39"/>
    <x v="3"/>
    <x v="7"/>
    <x v="3"/>
    <n v="6719"/>
    <n v="595236.21"/>
  </r>
  <r>
    <n v="889"/>
    <n v="370116364"/>
    <x v="6"/>
    <x v="0"/>
    <x v="76"/>
    <x v="2"/>
    <x v="28"/>
    <x v="2"/>
    <n v="4512"/>
    <n v="248791.67999999999"/>
  </r>
  <r>
    <n v="890"/>
    <n v="829352176"/>
    <x v="9"/>
    <x v="1"/>
    <x v="36"/>
    <x v="2"/>
    <x v="21"/>
    <x v="2"/>
    <n v="2594"/>
    <n v="40622.04"/>
  </r>
  <r>
    <n v="891"/>
    <n v="974337804"/>
    <x v="7"/>
    <x v="1"/>
    <x v="84"/>
    <x v="2"/>
    <x v="25"/>
    <x v="2"/>
    <n v="7063"/>
    <n v="1170550.99"/>
  </r>
  <r>
    <n v="892"/>
    <n v="436372077"/>
    <x v="7"/>
    <x v="1"/>
    <x v="79"/>
    <x v="0"/>
    <x v="27"/>
    <x v="3"/>
    <n v="1050"/>
    <n v="174016.5"/>
  </r>
  <r>
    <n v="893"/>
    <n v="267066323"/>
    <x v="3"/>
    <x v="0"/>
    <x v="38"/>
    <x v="1"/>
    <x v="13"/>
    <x v="3"/>
    <n v="9715"/>
    <n v="860651.85"/>
  </r>
  <r>
    <n v="894"/>
    <n v="688344371"/>
    <x v="4"/>
    <x v="1"/>
    <x v="57"/>
    <x v="3"/>
    <x v="17"/>
    <x v="1"/>
    <n v="5251"/>
    <n v="12654.91"/>
  </r>
  <r>
    <n v="895"/>
    <n v="642442548"/>
    <x v="0"/>
    <x v="0"/>
    <x v="0"/>
    <x v="0"/>
    <x v="28"/>
    <x v="2"/>
    <n v="1881"/>
    <n v="327049.46999999997"/>
  </r>
  <r>
    <n v="896"/>
    <n v="941909682"/>
    <x v="3"/>
    <x v="1"/>
    <x v="76"/>
    <x v="2"/>
    <x v="13"/>
    <x v="3"/>
    <n v="861"/>
    <n v="76275.990000000005"/>
  </r>
  <r>
    <n v="897"/>
    <n v="219607102"/>
    <x v="9"/>
    <x v="0"/>
    <x v="60"/>
    <x v="2"/>
    <x v="9"/>
    <x v="2"/>
    <n v="5477"/>
    <n v="85769.82"/>
  </r>
  <r>
    <n v="898"/>
    <n v="778708636"/>
    <x v="10"/>
    <x v="0"/>
    <x v="20"/>
    <x v="2"/>
    <x v="26"/>
    <x v="1"/>
    <n v="6045"/>
    <n v="151487.70000000001"/>
  </r>
  <r>
    <n v="899"/>
    <n v="942700612"/>
    <x v="9"/>
    <x v="1"/>
    <x v="3"/>
    <x v="1"/>
    <x v="5"/>
    <x v="4"/>
    <n v="4915"/>
    <n v="76968.899999999994"/>
  </r>
  <r>
    <n v="900"/>
    <n v="905381858"/>
    <x v="7"/>
    <x v="0"/>
    <x v="33"/>
    <x v="3"/>
    <x v="3"/>
    <x v="2"/>
    <n v="1466"/>
    <n v="242960.18"/>
  </r>
  <r>
    <n v="901"/>
    <n v="480863702"/>
    <x v="11"/>
    <x v="1"/>
    <x v="55"/>
    <x v="3"/>
    <x v="17"/>
    <x v="1"/>
    <n v="7110"/>
    <n v="406692"/>
  </r>
  <r>
    <n v="902"/>
    <n v="453569972"/>
    <x v="0"/>
    <x v="1"/>
    <x v="25"/>
    <x v="3"/>
    <x v="1"/>
    <x v="1"/>
    <n v="289"/>
    <n v="50248.43"/>
  </r>
  <r>
    <n v="903"/>
    <n v="328236997"/>
    <x v="2"/>
    <x v="0"/>
    <x v="34"/>
    <x v="2"/>
    <x v="22"/>
    <x v="1"/>
    <n v="1476"/>
    <n v="141489.35999999999"/>
  </r>
  <r>
    <n v="904"/>
    <n v="579913604"/>
    <x v="10"/>
    <x v="0"/>
    <x v="37"/>
    <x v="0"/>
    <x v="21"/>
    <x v="2"/>
    <n v="8177"/>
    <n v="204915.62"/>
  </r>
  <r>
    <n v="905"/>
    <n v="403961122"/>
    <x v="0"/>
    <x v="1"/>
    <x v="11"/>
    <x v="3"/>
    <x v="9"/>
    <x v="2"/>
    <n v="9928"/>
    <n v="1726181.36"/>
  </r>
  <r>
    <n v="906"/>
    <n v="866053378"/>
    <x v="0"/>
    <x v="0"/>
    <x v="90"/>
    <x v="1"/>
    <x v="18"/>
    <x v="2"/>
    <n v="3295"/>
    <n v="572901.65"/>
  </r>
  <r>
    <n v="907"/>
    <n v="852176702"/>
    <x v="7"/>
    <x v="0"/>
    <x v="3"/>
    <x v="1"/>
    <x v="18"/>
    <x v="2"/>
    <n v="6878"/>
    <n v="1139890.94"/>
  </r>
  <r>
    <n v="908"/>
    <n v="218629920"/>
    <x v="2"/>
    <x v="1"/>
    <x v="63"/>
    <x v="2"/>
    <x v="6"/>
    <x v="2"/>
    <n v="6307"/>
    <n v="604589.02"/>
  </r>
  <r>
    <n v="909"/>
    <n v="242024362"/>
    <x v="2"/>
    <x v="0"/>
    <x v="85"/>
    <x v="3"/>
    <x v="25"/>
    <x v="2"/>
    <n v="9242"/>
    <n v="885938.12"/>
  </r>
  <r>
    <n v="910"/>
    <n v="469283854"/>
    <x v="6"/>
    <x v="0"/>
    <x v="61"/>
    <x v="3"/>
    <x v="28"/>
    <x v="2"/>
    <n v="376"/>
    <n v="20732.64"/>
  </r>
  <r>
    <n v="911"/>
    <n v="967644727"/>
    <x v="4"/>
    <x v="1"/>
    <x v="47"/>
    <x v="1"/>
    <x v="27"/>
    <x v="3"/>
    <n v="6433"/>
    <n v="15503.53"/>
  </r>
  <r>
    <n v="912"/>
    <n v="974655807"/>
    <x v="0"/>
    <x v="0"/>
    <x v="76"/>
    <x v="2"/>
    <x v="9"/>
    <x v="2"/>
    <n v="1167"/>
    <n v="202906.29"/>
  </r>
  <r>
    <n v="913"/>
    <n v="248178422"/>
    <x v="1"/>
    <x v="1"/>
    <x v="45"/>
    <x v="3"/>
    <x v="20"/>
    <x v="3"/>
    <n v="365"/>
    <n v="23042.45"/>
  </r>
  <r>
    <n v="914"/>
    <n v="416386401"/>
    <x v="1"/>
    <x v="0"/>
    <x v="49"/>
    <x v="3"/>
    <x v="9"/>
    <x v="2"/>
    <n v="6844"/>
    <n v="432061.72"/>
  </r>
  <r>
    <n v="915"/>
    <n v="927766072"/>
    <x v="6"/>
    <x v="0"/>
    <x v="90"/>
    <x v="1"/>
    <x v="1"/>
    <x v="1"/>
    <n v="5453"/>
    <n v="300678.42"/>
  </r>
  <r>
    <n v="916"/>
    <n v="401116263"/>
    <x v="1"/>
    <x v="1"/>
    <x v="6"/>
    <x v="3"/>
    <x v="25"/>
    <x v="2"/>
    <n v="8071"/>
    <n v="509522.23"/>
  </r>
  <r>
    <n v="917"/>
    <n v="675548303"/>
    <x v="4"/>
    <x v="0"/>
    <x v="19"/>
    <x v="2"/>
    <x v="16"/>
    <x v="4"/>
    <n v="8610"/>
    <n v="20750.099999999999"/>
  </r>
  <r>
    <n v="918"/>
    <n v="960486018"/>
    <x v="2"/>
    <x v="1"/>
    <x v="48"/>
    <x v="1"/>
    <x v="13"/>
    <x v="3"/>
    <n v="8012"/>
    <n v="768030.32"/>
  </r>
  <r>
    <n v="919"/>
    <n v="985665738"/>
    <x v="5"/>
    <x v="0"/>
    <x v="29"/>
    <x v="1"/>
    <x v="3"/>
    <x v="2"/>
    <n v="9250"/>
    <n v="679320"/>
  </r>
  <r>
    <n v="920"/>
    <n v="551136291"/>
    <x v="5"/>
    <x v="0"/>
    <x v="23"/>
    <x v="3"/>
    <x v="28"/>
    <x v="2"/>
    <n v="2331"/>
    <n v="171188.64"/>
  </r>
  <r>
    <n v="921"/>
    <n v="877259004"/>
    <x v="3"/>
    <x v="1"/>
    <x v="52"/>
    <x v="3"/>
    <x v="21"/>
    <x v="2"/>
    <n v="9289"/>
    <n v="822912.51"/>
  </r>
  <r>
    <n v="922"/>
    <n v="554707705"/>
    <x v="9"/>
    <x v="0"/>
    <x v="65"/>
    <x v="2"/>
    <x v="23"/>
    <x v="1"/>
    <n v="9192"/>
    <n v="143946.72"/>
  </r>
  <r>
    <n v="923"/>
    <n v="494468724"/>
    <x v="3"/>
    <x v="0"/>
    <x v="66"/>
    <x v="0"/>
    <x v="27"/>
    <x v="3"/>
    <n v="3139"/>
    <n v="278084.01"/>
  </r>
  <r>
    <n v="924"/>
    <n v="777840888"/>
    <x v="10"/>
    <x v="1"/>
    <x v="59"/>
    <x v="2"/>
    <x v="24"/>
    <x v="3"/>
    <n v="9259"/>
    <n v="232030.54"/>
  </r>
  <r>
    <n v="925"/>
    <n v="206435525"/>
    <x v="2"/>
    <x v="0"/>
    <x v="41"/>
    <x v="0"/>
    <x v="23"/>
    <x v="1"/>
    <n v="7714"/>
    <n v="739464.04"/>
  </r>
  <r>
    <n v="926"/>
    <n v="352176463"/>
    <x v="8"/>
    <x v="1"/>
    <x v="89"/>
    <x v="0"/>
    <x v="23"/>
    <x v="1"/>
    <n v="5696"/>
    <n v="719120"/>
  </r>
  <r>
    <n v="927"/>
    <n v="607300031"/>
    <x v="0"/>
    <x v="0"/>
    <x v="32"/>
    <x v="0"/>
    <x v="19"/>
    <x v="1"/>
    <n v="2429"/>
    <n v="422330.23"/>
  </r>
  <r>
    <n v="928"/>
    <n v="434355056"/>
    <x v="2"/>
    <x v="1"/>
    <x v="36"/>
    <x v="2"/>
    <x v="3"/>
    <x v="2"/>
    <n v="4168"/>
    <n v="399544.48"/>
  </r>
  <r>
    <n v="929"/>
    <n v="716202867"/>
    <x v="4"/>
    <x v="0"/>
    <x v="4"/>
    <x v="2"/>
    <x v="28"/>
    <x v="2"/>
    <n v="9199"/>
    <n v="22169.59"/>
  </r>
  <r>
    <n v="930"/>
    <n v="606017291"/>
    <x v="10"/>
    <x v="1"/>
    <x v="44"/>
    <x v="1"/>
    <x v="27"/>
    <x v="3"/>
    <n v="2838"/>
    <n v="71120.28"/>
  </r>
  <r>
    <n v="931"/>
    <n v="677284657"/>
    <x v="3"/>
    <x v="0"/>
    <x v="8"/>
    <x v="3"/>
    <x v="24"/>
    <x v="3"/>
    <n v="2436"/>
    <n v="215805.24"/>
  </r>
  <r>
    <n v="932"/>
    <n v="673803794"/>
    <x v="4"/>
    <x v="1"/>
    <x v="76"/>
    <x v="2"/>
    <x v="20"/>
    <x v="3"/>
    <n v="2371"/>
    <n v="5714.11"/>
  </r>
  <r>
    <n v="933"/>
    <n v="859686028"/>
    <x v="3"/>
    <x v="0"/>
    <x v="27"/>
    <x v="1"/>
    <x v="13"/>
    <x v="3"/>
    <n v="9055"/>
    <n v="802182.45"/>
  </r>
  <r>
    <n v="934"/>
    <n v="669355189"/>
    <x v="5"/>
    <x v="1"/>
    <x v="40"/>
    <x v="2"/>
    <x v="5"/>
    <x v="4"/>
    <n v="5930"/>
    <n v="435499.2"/>
  </r>
  <r>
    <n v="935"/>
    <n v="957547605"/>
    <x v="4"/>
    <x v="0"/>
    <x v="32"/>
    <x v="0"/>
    <x v="0"/>
    <x v="0"/>
    <n v="8470"/>
    <n v="20412.7"/>
  </r>
  <r>
    <n v="936"/>
    <n v="849312102"/>
    <x v="10"/>
    <x v="1"/>
    <x v="32"/>
    <x v="0"/>
    <x v="17"/>
    <x v="1"/>
    <n v="9180"/>
    <n v="230050.8"/>
  </r>
  <r>
    <n v="937"/>
    <n v="890010011"/>
    <x v="10"/>
    <x v="0"/>
    <x v="19"/>
    <x v="2"/>
    <x v="23"/>
    <x v="1"/>
    <n v="2595"/>
    <n v="65030.7"/>
  </r>
  <r>
    <n v="938"/>
    <n v="795315158"/>
    <x v="3"/>
    <x v="1"/>
    <x v="22"/>
    <x v="0"/>
    <x v="18"/>
    <x v="2"/>
    <n v="284"/>
    <n v="25159.56"/>
  </r>
  <r>
    <n v="939"/>
    <n v="801213872"/>
    <x v="5"/>
    <x v="0"/>
    <x v="41"/>
    <x v="0"/>
    <x v="1"/>
    <x v="1"/>
    <n v="5844"/>
    <n v="429183.36"/>
  </r>
  <r>
    <n v="940"/>
    <n v="314004981"/>
    <x v="4"/>
    <x v="0"/>
    <x v="51"/>
    <x v="2"/>
    <x v="14"/>
    <x v="3"/>
    <n v="9907"/>
    <n v="23875.87"/>
  </r>
  <r>
    <n v="941"/>
    <n v="160299813"/>
    <x v="3"/>
    <x v="1"/>
    <x v="56"/>
    <x v="3"/>
    <x v="9"/>
    <x v="2"/>
    <n v="5132"/>
    <n v="454643.88"/>
  </r>
  <r>
    <n v="942"/>
    <n v="337022197"/>
    <x v="9"/>
    <x v="0"/>
    <x v="17"/>
    <x v="2"/>
    <x v="0"/>
    <x v="0"/>
    <n v="1212"/>
    <n v="18979.919999999998"/>
  </r>
  <r>
    <n v="943"/>
    <n v="461408460"/>
    <x v="6"/>
    <x v="0"/>
    <x v="82"/>
    <x v="3"/>
    <x v="24"/>
    <x v="3"/>
    <n v="9872"/>
    <n v="544342.07999999996"/>
  </r>
  <r>
    <n v="944"/>
    <n v="221007430"/>
    <x v="8"/>
    <x v="0"/>
    <x v="37"/>
    <x v="0"/>
    <x v="22"/>
    <x v="1"/>
    <n v="9865"/>
    <n v="1245456.25"/>
  </r>
  <r>
    <n v="945"/>
    <n v="723680436"/>
    <x v="6"/>
    <x v="0"/>
    <x v="0"/>
    <x v="0"/>
    <x v="9"/>
    <x v="2"/>
    <n v="1978"/>
    <n v="109066.92"/>
  </r>
  <r>
    <n v="946"/>
    <n v="447601306"/>
    <x v="4"/>
    <x v="0"/>
    <x v="73"/>
    <x v="3"/>
    <x v="4"/>
    <x v="3"/>
    <n v="4028"/>
    <n v="9707.48"/>
  </r>
  <r>
    <n v="947"/>
    <n v="191256368"/>
    <x v="5"/>
    <x v="0"/>
    <x v="66"/>
    <x v="0"/>
    <x v="3"/>
    <x v="2"/>
    <n v="5864"/>
    <n v="430652.15999999997"/>
  </r>
  <r>
    <n v="948"/>
    <n v="823444449"/>
    <x v="1"/>
    <x v="0"/>
    <x v="2"/>
    <x v="0"/>
    <x v="0"/>
    <x v="0"/>
    <n v="4366"/>
    <n v="275625.58"/>
  </r>
  <r>
    <n v="949"/>
    <n v="133276879"/>
    <x v="9"/>
    <x v="1"/>
    <x v="30"/>
    <x v="2"/>
    <x v="25"/>
    <x v="2"/>
    <n v="8445"/>
    <n v="132248.70000000001"/>
  </r>
  <r>
    <n v="950"/>
    <n v="480177485"/>
    <x v="11"/>
    <x v="1"/>
    <x v="79"/>
    <x v="0"/>
    <x v="16"/>
    <x v="4"/>
    <n v="4043"/>
    <n v="231259.6"/>
  </r>
  <r>
    <n v="951"/>
    <n v="243882596"/>
    <x v="7"/>
    <x v="0"/>
    <x v="38"/>
    <x v="1"/>
    <x v="21"/>
    <x v="2"/>
    <n v="9135"/>
    <n v="1513943.55"/>
  </r>
  <r>
    <n v="952"/>
    <n v="574441039"/>
    <x v="0"/>
    <x v="1"/>
    <x v="57"/>
    <x v="3"/>
    <x v="7"/>
    <x v="3"/>
    <n v="8724"/>
    <n v="1516841.88"/>
  </r>
  <r>
    <n v="953"/>
    <n v="442214143"/>
    <x v="7"/>
    <x v="1"/>
    <x v="45"/>
    <x v="3"/>
    <x v="19"/>
    <x v="1"/>
    <n v="9847"/>
    <n v="1631943.31"/>
  </r>
  <r>
    <n v="954"/>
    <n v="687875735"/>
    <x v="5"/>
    <x v="0"/>
    <x v="1"/>
    <x v="0"/>
    <x v="24"/>
    <x v="3"/>
    <n v="6571"/>
    <n v="482574.24"/>
  </r>
  <r>
    <n v="955"/>
    <n v="872412145"/>
    <x v="5"/>
    <x v="0"/>
    <x v="53"/>
    <x v="2"/>
    <x v="6"/>
    <x v="2"/>
    <n v="4995"/>
    <n v="366832.8"/>
  </r>
  <r>
    <n v="956"/>
    <n v="627122199"/>
    <x v="4"/>
    <x v="0"/>
    <x v="83"/>
    <x v="1"/>
    <x v="21"/>
    <x v="2"/>
    <n v="8250"/>
    <n v="19882.5"/>
  </r>
  <r>
    <n v="957"/>
    <n v="103617227"/>
    <x v="4"/>
    <x v="1"/>
    <x v="21"/>
    <x v="3"/>
    <x v="4"/>
    <x v="3"/>
    <n v="1495"/>
    <n v="3602.95"/>
  </r>
  <r>
    <n v="958"/>
    <n v="423821055"/>
    <x v="1"/>
    <x v="0"/>
    <x v="66"/>
    <x v="0"/>
    <x v="26"/>
    <x v="1"/>
    <n v="6923"/>
    <n v="437048.99"/>
  </r>
  <r>
    <n v="959"/>
    <n v="529970014"/>
    <x v="1"/>
    <x v="1"/>
    <x v="62"/>
    <x v="0"/>
    <x v="27"/>
    <x v="3"/>
    <n v="8759"/>
    <n v="552955.67000000004"/>
  </r>
  <r>
    <n v="960"/>
    <n v="334612929"/>
    <x v="10"/>
    <x v="0"/>
    <x v="34"/>
    <x v="2"/>
    <x v="22"/>
    <x v="1"/>
    <n v="8256"/>
    <n v="206895.35999999999"/>
  </r>
  <r>
    <n v="961"/>
    <n v="270611131"/>
    <x v="9"/>
    <x v="0"/>
    <x v="29"/>
    <x v="1"/>
    <x v="19"/>
    <x v="1"/>
    <n v="8702"/>
    <n v="136273.32"/>
  </r>
  <r>
    <n v="962"/>
    <n v="841138446"/>
    <x v="8"/>
    <x v="1"/>
    <x v="42"/>
    <x v="0"/>
    <x v="6"/>
    <x v="2"/>
    <n v="413"/>
    <n v="52141.25"/>
  </r>
  <r>
    <n v="963"/>
    <n v="369681203"/>
    <x v="7"/>
    <x v="1"/>
    <x v="83"/>
    <x v="1"/>
    <x v="27"/>
    <x v="3"/>
    <n v="5738"/>
    <n v="950958.74"/>
  </r>
  <r>
    <n v="964"/>
    <n v="850038230"/>
    <x v="7"/>
    <x v="0"/>
    <x v="29"/>
    <x v="1"/>
    <x v="10"/>
    <x v="3"/>
    <n v="4057"/>
    <n v="672366.61"/>
  </r>
  <r>
    <n v="965"/>
    <n v="296320855"/>
    <x v="9"/>
    <x v="1"/>
    <x v="48"/>
    <x v="1"/>
    <x v="10"/>
    <x v="3"/>
    <n v="6781"/>
    <n v="106190.46"/>
  </r>
  <r>
    <n v="966"/>
    <n v="392952907"/>
    <x v="0"/>
    <x v="0"/>
    <x v="77"/>
    <x v="2"/>
    <x v="6"/>
    <x v="2"/>
    <n v="2352"/>
    <n v="408942.24"/>
  </r>
  <r>
    <n v="967"/>
    <n v="644670712"/>
    <x v="6"/>
    <x v="1"/>
    <x v="21"/>
    <x v="3"/>
    <x v="3"/>
    <x v="2"/>
    <n v="1245"/>
    <n v="68649.3"/>
  </r>
  <r>
    <n v="968"/>
    <n v="626523101"/>
    <x v="11"/>
    <x v="1"/>
    <x v="24"/>
    <x v="3"/>
    <x v="12"/>
    <x v="4"/>
    <n v="963"/>
    <n v="55083.6"/>
  </r>
  <r>
    <n v="969"/>
    <n v="433871400"/>
    <x v="1"/>
    <x v="0"/>
    <x v="27"/>
    <x v="1"/>
    <x v="8"/>
    <x v="0"/>
    <n v="1044"/>
    <n v="65907.72"/>
  </r>
  <r>
    <n v="970"/>
    <n v="232389438"/>
    <x v="6"/>
    <x v="0"/>
    <x v="24"/>
    <x v="3"/>
    <x v="24"/>
    <x v="3"/>
    <n v="8054"/>
    <n v="444097.56"/>
  </r>
  <r>
    <n v="971"/>
    <n v="708063542"/>
    <x v="3"/>
    <x v="0"/>
    <x v="85"/>
    <x v="3"/>
    <x v="5"/>
    <x v="4"/>
    <n v="592"/>
    <n v="52445.279999999999"/>
  </r>
  <r>
    <n v="972"/>
    <n v="817192542"/>
    <x v="1"/>
    <x v="0"/>
    <x v="41"/>
    <x v="0"/>
    <x v="7"/>
    <x v="3"/>
    <n v="4288"/>
    <n v="270701.44"/>
  </r>
  <r>
    <n v="973"/>
    <n v="936387765"/>
    <x v="11"/>
    <x v="0"/>
    <x v="24"/>
    <x v="3"/>
    <x v="15"/>
    <x v="0"/>
    <n v="6803"/>
    <n v="389131.6"/>
  </r>
  <r>
    <n v="974"/>
    <n v="612573039"/>
    <x v="5"/>
    <x v="0"/>
    <x v="4"/>
    <x v="2"/>
    <x v="21"/>
    <x v="2"/>
    <n v="2830"/>
    <n v="207835.2"/>
  </r>
  <r>
    <n v="975"/>
    <n v="812984693"/>
    <x v="5"/>
    <x v="1"/>
    <x v="4"/>
    <x v="2"/>
    <x v="14"/>
    <x v="3"/>
    <n v="9092"/>
    <n v="667716.48"/>
  </r>
  <r>
    <n v="976"/>
    <n v="775171554"/>
    <x v="11"/>
    <x v="0"/>
    <x v="62"/>
    <x v="0"/>
    <x v="28"/>
    <x v="2"/>
    <n v="9344"/>
    <n v="534476.80000000005"/>
  </r>
  <r>
    <n v="977"/>
    <n v="256994950"/>
    <x v="7"/>
    <x v="1"/>
    <x v="55"/>
    <x v="3"/>
    <x v="8"/>
    <x v="0"/>
    <n v="9372"/>
    <n v="1553221.56"/>
  </r>
  <r>
    <n v="978"/>
    <n v="886628711"/>
    <x v="9"/>
    <x v="0"/>
    <x v="52"/>
    <x v="3"/>
    <x v="26"/>
    <x v="1"/>
    <n v="1993"/>
    <n v="31210.38"/>
  </r>
  <r>
    <n v="979"/>
    <n v="312559163"/>
    <x v="9"/>
    <x v="1"/>
    <x v="81"/>
    <x v="0"/>
    <x v="11"/>
    <x v="1"/>
    <n v="2057"/>
    <n v="32212.62"/>
  </r>
  <r>
    <n v="980"/>
    <n v="753585135"/>
    <x v="3"/>
    <x v="1"/>
    <x v="65"/>
    <x v="2"/>
    <x v="4"/>
    <x v="3"/>
    <n v="1443"/>
    <n v="127835.37"/>
  </r>
  <r>
    <n v="981"/>
    <n v="448817956"/>
    <x v="9"/>
    <x v="0"/>
    <x v="15"/>
    <x v="1"/>
    <x v="19"/>
    <x v="1"/>
    <n v="4062"/>
    <n v="63610.92"/>
  </r>
  <r>
    <n v="982"/>
    <n v="407681453"/>
    <x v="5"/>
    <x v="0"/>
    <x v="71"/>
    <x v="0"/>
    <x v="20"/>
    <x v="3"/>
    <n v="856"/>
    <n v="62864.639999999999"/>
  </r>
  <r>
    <n v="983"/>
    <n v="359911954"/>
    <x v="6"/>
    <x v="1"/>
    <x v="44"/>
    <x v="1"/>
    <x v="7"/>
    <x v="3"/>
    <n v="4800"/>
    <n v="264672"/>
  </r>
  <r>
    <n v="984"/>
    <n v="105558288"/>
    <x v="8"/>
    <x v="0"/>
    <x v="36"/>
    <x v="2"/>
    <x v="12"/>
    <x v="4"/>
    <n v="5898"/>
    <n v="744622.5"/>
  </r>
  <r>
    <n v="985"/>
    <n v="864981782"/>
    <x v="10"/>
    <x v="0"/>
    <x v="79"/>
    <x v="0"/>
    <x v="23"/>
    <x v="1"/>
    <n v="6186"/>
    <n v="155021.16"/>
  </r>
  <r>
    <n v="986"/>
    <n v="328856265"/>
    <x v="8"/>
    <x v="1"/>
    <x v="73"/>
    <x v="3"/>
    <x v="1"/>
    <x v="1"/>
    <n v="4732"/>
    <n v="597415"/>
  </r>
  <r>
    <n v="987"/>
    <n v="308168065"/>
    <x v="5"/>
    <x v="0"/>
    <x v="88"/>
    <x v="2"/>
    <x v="5"/>
    <x v="4"/>
    <n v="2633"/>
    <n v="193367.52"/>
  </r>
  <r>
    <n v="988"/>
    <n v="884216010"/>
    <x v="7"/>
    <x v="0"/>
    <x v="12"/>
    <x v="0"/>
    <x v="20"/>
    <x v="3"/>
    <n v="8021"/>
    <n v="1329320.33"/>
  </r>
  <r>
    <n v="989"/>
    <n v="858611428"/>
    <x v="6"/>
    <x v="0"/>
    <x v="62"/>
    <x v="0"/>
    <x v="4"/>
    <x v="3"/>
    <n v="1057"/>
    <n v="58282.98"/>
  </r>
  <r>
    <n v="990"/>
    <n v="903278148"/>
    <x v="3"/>
    <x v="1"/>
    <x v="57"/>
    <x v="3"/>
    <x v="17"/>
    <x v="1"/>
    <n v="8932"/>
    <n v="791285.88"/>
  </r>
  <r>
    <n v="991"/>
    <n v="410452497"/>
    <x v="9"/>
    <x v="1"/>
    <x v="45"/>
    <x v="3"/>
    <x v="12"/>
    <x v="4"/>
    <n v="870"/>
    <n v="13624.2"/>
  </r>
  <r>
    <n v="992"/>
    <n v="642683303"/>
    <x v="3"/>
    <x v="0"/>
    <x v="10"/>
    <x v="0"/>
    <x v="23"/>
    <x v="1"/>
    <n v="3126"/>
    <n v="276932.34000000003"/>
  </r>
  <r>
    <n v="993"/>
    <n v="682831895"/>
    <x v="9"/>
    <x v="0"/>
    <x v="52"/>
    <x v="3"/>
    <x v="22"/>
    <x v="1"/>
    <n v="3987"/>
    <n v="62436.42"/>
  </r>
  <r>
    <n v="994"/>
    <n v="584072101"/>
    <x v="2"/>
    <x v="1"/>
    <x v="12"/>
    <x v="0"/>
    <x v="25"/>
    <x v="2"/>
    <n v="8769"/>
    <n v="840596.34"/>
  </r>
  <r>
    <n v="995"/>
    <n v="919890248"/>
    <x v="11"/>
    <x v="0"/>
    <x v="75"/>
    <x v="1"/>
    <x v="16"/>
    <x v="4"/>
    <n v="4821"/>
    <n v="275761.2"/>
  </r>
  <r>
    <n v="996"/>
    <n v="534085166"/>
    <x v="6"/>
    <x v="0"/>
    <x v="3"/>
    <x v="1"/>
    <x v="16"/>
    <x v="4"/>
    <n v="6524"/>
    <n v="359733.36"/>
  </r>
  <r>
    <n v="997"/>
    <n v="590768182"/>
    <x v="2"/>
    <x v="0"/>
    <x v="4"/>
    <x v="2"/>
    <x v="23"/>
    <x v="1"/>
    <n v="288"/>
    <n v="27607.68"/>
  </r>
  <r>
    <n v="998"/>
    <n v="524363124"/>
    <x v="1"/>
    <x v="1"/>
    <x v="50"/>
    <x v="1"/>
    <x v="20"/>
    <x v="3"/>
    <n v="9556"/>
    <n v="603270.28"/>
  </r>
  <r>
    <n v="999"/>
    <n v="289606320"/>
    <x v="7"/>
    <x v="0"/>
    <x v="25"/>
    <x v="3"/>
    <x v="22"/>
    <x v="1"/>
    <n v="9801"/>
    <n v="1624319.73"/>
  </r>
  <r>
    <n v="1000"/>
    <n v="811546599"/>
    <x v="3"/>
    <x v="0"/>
    <x v="29"/>
    <x v="1"/>
    <x v="17"/>
    <x v="1"/>
    <n v="3528"/>
    <n v="312545.5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 cacheId="2"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6">
  <location ref="B4:D21" firstHeaderRow="1" firstDataRow="3" firstDataCol="1"/>
  <pivotFields count="12">
    <pivotField showAll="0"/>
    <pivotField showAll="0"/>
    <pivotField showAll="0">
      <items count="13">
        <item h="1" x="2"/>
        <item h="1" x="9"/>
        <item x="3"/>
        <item h="1" x="5"/>
        <item h="1" x="0"/>
        <item h="1" x="4"/>
        <item h="1" x="7"/>
        <item h="1" x="11"/>
        <item h="1" x="8"/>
        <item h="1" x="10"/>
        <item h="1" x="6"/>
        <item h="1" x="1"/>
        <item t="default"/>
      </items>
    </pivotField>
    <pivotField showAll="0">
      <items count="3">
        <item x="0"/>
        <item x="1"/>
        <item t="default"/>
      </items>
    </pivotField>
    <pivotField numFmtId="164" showAll="0">
      <items count="15">
        <item x="0"/>
        <item x="1"/>
        <item x="2"/>
        <item x="3"/>
        <item x="4"/>
        <item x="5"/>
        <item x="6"/>
        <item x="7"/>
        <item x="8"/>
        <item x="9"/>
        <item x="10"/>
        <item x="11"/>
        <item x="12"/>
        <item x="13"/>
        <item t="default"/>
      </items>
    </pivotField>
    <pivotField showAll="0">
      <items count="5">
        <item x="3"/>
        <item x="1"/>
        <item x="2"/>
        <item x="0"/>
        <item t="default"/>
      </items>
    </pivotField>
    <pivotField axis="axisRow" multipleItemSelectionAllowed="1" showAll="0">
      <items count="30">
        <item x="25"/>
        <item x="14"/>
        <item x="13"/>
        <item x="16"/>
        <item x="12"/>
        <item x="18"/>
        <item x="21"/>
        <item x="17"/>
        <item x="26"/>
        <item x="11"/>
        <item x="15"/>
        <item x="28"/>
        <item x="3"/>
        <item x="5"/>
        <item x="9"/>
        <item x="7"/>
        <item x="24"/>
        <item x="4"/>
        <item x="20"/>
        <item x="8"/>
        <item x="1"/>
        <item x="22"/>
        <item x="10"/>
        <item x="2"/>
        <item x="6"/>
        <item x="27"/>
        <item x="23"/>
        <item x="19"/>
        <item x="0"/>
        <item t="default"/>
      </items>
    </pivotField>
    <pivotField axis="axisRow" showAll="0">
      <items count="6">
        <item x="4"/>
        <item x="0"/>
        <item x="3"/>
        <item x="1"/>
        <item x="2"/>
        <item t="default"/>
      </items>
    </pivotField>
    <pivotField showAll="0"/>
    <pivotField dataField="1" showAll="0"/>
    <pivotField axis="axisCol" showAll="0">
      <items count="7">
        <item sd="0" x="0"/>
        <item sd="0" x="1"/>
        <item sd="0" x="2"/>
        <item sd="0" x="3"/>
        <item sd="0" x="4"/>
        <item sd="0" x="5"/>
        <item t="default"/>
      </items>
    </pivotField>
    <pivotField axis="axisCol" showAll="0">
      <items count="11">
        <item h="1" sd="0" x="0"/>
        <item sd="0" x="1"/>
        <item h="1" sd="0" x="2"/>
        <item h="1" sd="0" x="3"/>
        <item h="1" sd="0" x="4"/>
        <item h="1" sd="0" x="5"/>
        <item h="1" sd="0" x="6"/>
        <item h="1" sd="0" x="7"/>
        <item h="1" sd="0" x="8"/>
        <item h="1" sd="0" x="9"/>
        <item t="default"/>
      </items>
    </pivotField>
  </pivotFields>
  <rowFields count="2">
    <field x="7"/>
    <field x="6"/>
  </rowFields>
  <rowItems count="15">
    <i>
      <x/>
    </i>
    <i r="1">
      <x v="3"/>
    </i>
    <i>
      <x v="1"/>
    </i>
    <i r="1">
      <x v="28"/>
    </i>
    <i>
      <x v="2"/>
    </i>
    <i r="1">
      <x v="15"/>
    </i>
    <i r="1">
      <x v="18"/>
    </i>
    <i r="1">
      <x v="25"/>
    </i>
    <i>
      <x v="3"/>
    </i>
    <i r="1">
      <x v="8"/>
    </i>
    <i>
      <x v="4"/>
    </i>
    <i r="1">
      <x/>
    </i>
    <i r="1">
      <x v="12"/>
    </i>
    <i r="1">
      <x v="14"/>
    </i>
    <i t="grand">
      <x/>
    </i>
  </rowItems>
  <colFields count="2">
    <field x="11"/>
    <field x="10"/>
  </colFields>
  <colItems count="2">
    <i>
      <x v="1"/>
    </i>
    <i t="grand">
      <x/>
    </i>
  </colItems>
  <dataFields count="1">
    <dataField name="Sum of Total Profit" fld="9" baseField="0" baseItem="0"/>
  </dataFields>
  <chartFormats count="9">
    <chartFormat chart="23" format="0" series="1">
      <pivotArea type="data" outline="0" fieldPosition="0">
        <references count="1">
          <reference field="4294967294" count="1" selected="0">
            <x v="0"/>
          </reference>
        </references>
      </pivotArea>
    </chartFormat>
    <chartFormat chart="25" format="203" series="1">
      <pivotArea type="data" outline="0" fieldPosition="0">
        <references count="1">
          <reference field="4294967294" count="1" selected="0">
            <x v="0"/>
          </reference>
        </references>
      </pivotArea>
    </chartFormat>
    <chartFormat chart="25" format="204" series="1">
      <pivotArea type="data" outline="0" fieldPosition="0">
        <references count="2">
          <reference field="4294967294" count="1" selected="0">
            <x v="0"/>
          </reference>
          <reference field="11" count="1" selected="0">
            <x v="8"/>
          </reference>
        </references>
      </pivotArea>
    </chartFormat>
    <chartFormat chart="25" format="205" series="1">
      <pivotArea type="data" outline="0" fieldPosition="0">
        <references count="2">
          <reference field="4294967294" count="1" selected="0">
            <x v="0"/>
          </reference>
          <reference field="11" count="1" selected="0">
            <x v="3"/>
          </reference>
        </references>
      </pivotArea>
    </chartFormat>
    <chartFormat chart="25" format="206" series="1">
      <pivotArea type="data" outline="0" fieldPosition="0">
        <references count="2">
          <reference field="4294967294" count="1" selected="0">
            <x v="0"/>
          </reference>
          <reference field="11" count="1" selected="0">
            <x v="4"/>
          </reference>
        </references>
      </pivotArea>
    </chartFormat>
    <chartFormat chart="25" format="207" series="1">
      <pivotArea type="data" outline="0" fieldPosition="0">
        <references count="2">
          <reference field="4294967294" count="1" selected="0">
            <x v="0"/>
          </reference>
          <reference field="11" count="1" selected="0">
            <x v="5"/>
          </reference>
        </references>
      </pivotArea>
    </chartFormat>
    <chartFormat chart="25" format="208" series="1">
      <pivotArea type="data" outline="0" fieldPosition="0">
        <references count="2">
          <reference field="4294967294" count="1" selected="0">
            <x v="0"/>
          </reference>
          <reference field="11" count="1" selected="0">
            <x v="6"/>
          </reference>
        </references>
      </pivotArea>
    </chartFormat>
    <chartFormat chart="25" format="209" series="1">
      <pivotArea type="data" outline="0" fieldPosition="0">
        <references count="2">
          <reference field="4294967294" count="1" selected="0">
            <x v="0"/>
          </reference>
          <reference field="11" count="1" selected="0">
            <x v="7"/>
          </reference>
        </references>
      </pivotArea>
    </chartFormat>
    <chartFormat chart="25" format="210"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00000000-0013-0000-FFFF-FFFF01000000}" sourceName="Item Type">
  <pivotTables>
    <pivotTable tabId="3" name="PivotTable3"/>
  </pivotTables>
  <data>
    <tabular pivotCacheId="822342792">
      <items count="12">
        <i x="2"/>
        <i x="9"/>
        <i x="3" s="1"/>
        <i x="5"/>
        <i x="0"/>
        <i x="4"/>
        <i x="7"/>
        <i x="11"/>
        <i x="8"/>
        <i x="10"/>
        <i x="6"/>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00000000-0013-0000-FFFF-FFFF02000000}" sourceName="Sales Channel">
  <pivotTables>
    <pivotTable tabId="3" name="PivotTable3"/>
  </pivotTables>
  <data>
    <tabular pivotCacheId="822342792">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00000000-0013-0000-FFFF-FFFF03000000}" sourceName="Quarters">
  <pivotTables>
    <pivotTable tabId="3" name="PivotTable3"/>
  </pivotTables>
  <data>
    <tabular pivotCacheId="822342792">
      <items count="6">
        <i x="1" s="1"/>
        <i x="2" s="1"/>
        <i x="4" s="1"/>
        <i x="0" s="1" nd="1"/>
        <i x="5" s="1"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00000000-0013-0000-FFFF-FFFF04000000}" sourceName="Years">
  <pivotTables>
    <pivotTable tabId="3" name="PivotTable3"/>
  </pivotTables>
  <data>
    <tabular pivotCacheId="822342792">
      <items count="10">
        <i x="1" s="1"/>
        <i x="2"/>
        <i x="3"/>
        <i x="4"/>
        <i x="5"/>
        <i x="6"/>
        <i x="7"/>
        <i x="8"/>
        <i x="0" nd="1"/>
        <i x="9"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5000000}" sourceName="Region">
  <pivotTables>
    <pivotTable tabId="3" name="PivotTable3"/>
  </pivotTables>
  <data>
    <tabular pivotCacheId="822342792">
      <items count="5">
        <i x="4" s="1"/>
        <i x="0" s="1"/>
        <i x="3"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0000000-0013-0000-FFFF-FFFF06000000}" sourceName="State">
  <pivotTables>
    <pivotTable tabId="3" name="PivotTable3"/>
  </pivotTables>
  <data>
    <tabular pivotCacheId="822342792">
      <items count="29">
        <i x="25" s="1"/>
        <i x="16" s="1"/>
        <i x="26" s="1"/>
        <i x="3" s="1"/>
        <i x="9" s="1"/>
        <i x="7" s="1"/>
        <i x="20" s="1"/>
        <i x="27" s="1"/>
        <i x="0" s="1"/>
        <i x="14" s="1" nd="1"/>
        <i x="13" s="1" nd="1"/>
        <i x="12" s="1" nd="1"/>
        <i x="18" s="1" nd="1"/>
        <i x="21" s="1" nd="1"/>
        <i x="17" s="1" nd="1"/>
        <i x="11" s="1" nd="1"/>
        <i x="15" s="1" nd="1"/>
        <i x="28" s="1" nd="1"/>
        <i x="5" s="1" nd="1"/>
        <i x="24" s="1" nd="1"/>
        <i x="4" s="1" nd="1"/>
        <i x="8" s="1" nd="1"/>
        <i x="1" s="1" nd="1"/>
        <i x="22" s="1" nd="1"/>
        <i x="10" s="1" nd="1"/>
        <i x="2" s="1" nd="1"/>
        <i x="6" s="1" nd="1"/>
        <i x="23" s="1" nd="1"/>
        <i x="1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Type" xr10:uid="{00000000-0014-0000-FFFF-FFFF01000000}" cache="Slicer_Item_Type" caption="Item Type" rowHeight="234950"/>
  <slicer name="Sales Channel" xr10:uid="{00000000-0014-0000-FFFF-FFFF02000000}" cache="Slicer_Sales_Channel" caption="Sales Channel" rowHeight="234950"/>
  <slicer name="Quarters" xr10:uid="{00000000-0014-0000-FFFF-FFFF03000000}" cache="Slicer_Quarters" caption="Quarters" rowHeight="234950"/>
  <slicer name="Years" xr10:uid="{00000000-0014-0000-FFFF-FFFF04000000}" cache="Slicer_Years" caption="Years" rowHeight="234950"/>
  <slicer name="Region" xr10:uid="{00000000-0014-0000-FFFF-FFFF05000000}" cache="Slicer_Region" caption="Region" rowHeight="234950"/>
  <slicer name="State" xr10:uid="{00000000-0014-0000-FFFF-FFFF06000000}" cache="Slicer_State" caption="Stat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1001"/>
  <sheetViews>
    <sheetView workbookViewId="0">
      <selection activeCell="C2" sqref="C2"/>
    </sheetView>
  </sheetViews>
  <sheetFormatPr defaultRowHeight="14.4" x14ac:dyDescent="0.3"/>
  <cols>
    <col min="2" max="2" width="10" bestFit="1" customWidth="1"/>
    <col min="5" max="5" width="16.77734375" bestFit="1" customWidth="1"/>
    <col min="6" max="6" width="8.21875" bestFit="1" customWidth="1"/>
    <col min="10" max="10" width="11.109375" bestFit="1" customWidth="1"/>
    <col min="11" max="11" width="0.88671875" customWidth="1"/>
    <col min="12" max="12" width="10.109375" customWidth="1"/>
    <col min="13" max="13" width="0.77734375" customWidth="1"/>
    <col min="14" max="14" width="10" bestFit="1" customWidth="1"/>
    <col min="15" max="15" width="12.21875" bestFit="1" customWidth="1"/>
    <col min="16" max="16" width="8.5546875" bestFit="1" customWidth="1"/>
    <col min="17" max="17" width="16.33203125" bestFit="1" customWidth="1"/>
    <col min="18" max="18" width="3" bestFit="1" customWidth="1"/>
    <col min="19" max="19" width="10.21875" bestFit="1" customWidth="1"/>
    <col min="20" max="20" width="9.6640625" bestFit="1" customWidth="1"/>
    <col min="21" max="21" width="10" bestFit="1" customWidth="1"/>
    <col min="22" max="22" width="11.109375" bestFit="1" customWidth="1"/>
  </cols>
  <sheetData>
    <row r="1" spans="1:22" x14ac:dyDescent="0.3">
      <c r="A1" s="2" t="s">
        <v>0</v>
      </c>
      <c r="B1" s="2" t="s">
        <v>1</v>
      </c>
      <c r="C1" s="2" t="s">
        <v>2</v>
      </c>
      <c r="D1" s="2" t="s">
        <v>3</v>
      </c>
      <c r="E1" s="2" t="s">
        <v>4</v>
      </c>
      <c r="F1" s="2" t="s">
        <v>60</v>
      </c>
      <c r="G1" s="2" t="s">
        <v>5</v>
      </c>
      <c r="H1" s="2" t="s">
        <v>6</v>
      </c>
      <c r="I1" s="2" t="s">
        <v>7</v>
      </c>
      <c r="J1" s="2" t="s">
        <v>8</v>
      </c>
      <c r="K1" s="2"/>
      <c r="L1" s="3"/>
    </row>
    <row r="2" spans="1:22" x14ac:dyDescent="0.3">
      <c r="A2">
        <v>1</v>
      </c>
      <c r="B2">
        <v>686800706</v>
      </c>
      <c r="C2" t="s">
        <v>9</v>
      </c>
      <c r="D2" t="s">
        <v>10</v>
      </c>
      <c r="E2" s="1">
        <v>41913</v>
      </c>
      <c r="F2">
        <f t="shared" ref="F2:F65" si="0">ROUNDUP(MONTH(E2)/3,0)</f>
        <v>4</v>
      </c>
      <c r="G2" t="s">
        <v>11</v>
      </c>
      <c r="H2" t="s">
        <v>12</v>
      </c>
      <c r="I2">
        <v>8446</v>
      </c>
      <c r="J2">
        <v>1468506.02</v>
      </c>
    </row>
    <row r="3" spans="1:22" x14ac:dyDescent="0.3">
      <c r="A3">
        <v>2</v>
      </c>
      <c r="B3">
        <v>185941302</v>
      </c>
      <c r="C3" t="s">
        <v>13</v>
      </c>
      <c r="D3" t="s">
        <v>14</v>
      </c>
      <c r="E3" s="1">
        <v>40848</v>
      </c>
      <c r="F3">
        <f t="shared" si="0"/>
        <v>4</v>
      </c>
      <c r="G3" t="s">
        <v>15</v>
      </c>
      <c r="H3" t="s">
        <v>16</v>
      </c>
      <c r="I3">
        <v>3018</v>
      </c>
      <c r="J3">
        <v>190526.34</v>
      </c>
    </row>
    <row r="4" spans="1:22" x14ac:dyDescent="0.3">
      <c r="A4">
        <v>3</v>
      </c>
      <c r="B4">
        <v>246222341</v>
      </c>
      <c r="C4" t="s">
        <v>17</v>
      </c>
      <c r="D4" t="s">
        <v>10</v>
      </c>
      <c r="E4" s="1">
        <v>42644</v>
      </c>
      <c r="F4">
        <f t="shared" si="0"/>
        <v>4</v>
      </c>
      <c r="G4" t="s">
        <v>18</v>
      </c>
      <c r="H4" t="s">
        <v>19</v>
      </c>
      <c r="I4">
        <v>1517</v>
      </c>
      <c r="J4">
        <v>145419.62</v>
      </c>
    </row>
    <row r="5" spans="1:22" x14ac:dyDescent="0.3">
      <c r="A5">
        <v>4</v>
      </c>
      <c r="B5">
        <v>161442649</v>
      </c>
      <c r="C5" t="s">
        <v>20</v>
      </c>
      <c r="D5" t="s">
        <v>10</v>
      </c>
      <c r="E5" s="1">
        <v>40269</v>
      </c>
      <c r="F5">
        <f t="shared" si="0"/>
        <v>2</v>
      </c>
      <c r="G5" t="s">
        <v>21</v>
      </c>
      <c r="H5" t="s">
        <v>19</v>
      </c>
      <c r="I5">
        <v>3322</v>
      </c>
      <c r="J5">
        <v>294295.98</v>
      </c>
      <c r="L5" s="4" t="s">
        <v>22</v>
      </c>
      <c r="N5" s="2" t="s">
        <v>1</v>
      </c>
      <c r="O5" s="2" t="s">
        <v>2</v>
      </c>
      <c r="P5" s="2" t="s">
        <v>23</v>
      </c>
      <c r="Q5" s="2" t="s">
        <v>4</v>
      </c>
      <c r="R5" s="2" t="s">
        <v>65</v>
      </c>
      <c r="S5" s="2" t="s">
        <v>5</v>
      </c>
      <c r="T5" s="2" t="s">
        <v>6</v>
      </c>
      <c r="U5" s="2" t="s">
        <v>7</v>
      </c>
      <c r="V5" s="2" t="s">
        <v>8</v>
      </c>
    </row>
    <row r="6" spans="1:22" x14ac:dyDescent="0.3">
      <c r="A6">
        <v>5</v>
      </c>
      <c r="B6">
        <v>645713555</v>
      </c>
      <c r="C6" t="s">
        <v>24</v>
      </c>
      <c r="D6" t="s">
        <v>10</v>
      </c>
      <c r="E6" s="1">
        <v>40756</v>
      </c>
      <c r="F6">
        <f t="shared" si="0"/>
        <v>3</v>
      </c>
      <c r="G6" t="s">
        <v>15</v>
      </c>
      <c r="H6" t="s">
        <v>16</v>
      </c>
      <c r="I6">
        <v>9845</v>
      </c>
      <c r="J6">
        <v>23726.45</v>
      </c>
      <c r="L6" s="5">
        <v>652</v>
      </c>
      <c r="N6">
        <f>VLOOKUP($L$6,$A$1:$J$1001, 2, 0)</f>
        <v>636879432</v>
      </c>
      <c r="O6" t="str">
        <f>VLOOKUP($L$6,$A$1:$J$1001, 3, 0)</f>
        <v>Meat</v>
      </c>
      <c r="P6" t="str">
        <f>VLOOKUP($L$6,$A$1:$J$1001, 4, 0)</f>
        <v>Offline</v>
      </c>
      <c r="Q6" s="6">
        <f>VLOOKUP($L$6,$A$1:$J$1001, 5, 0)</f>
        <v>42156</v>
      </c>
      <c r="R6">
        <f>VLOOKUP($L$6,$A$1:$J$1001, 6, 0)</f>
        <v>2</v>
      </c>
      <c r="S6" t="str">
        <f>VLOOKUP($L$6,$A$1:$J$1001, 7, 0)</f>
        <v>Kerala</v>
      </c>
      <c r="T6" t="str">
        <f>VLOOKUP($L$6,$A$1:$J$1001, 8, 0)</f>
        <v>West India</v>
      </c>
      <c r="U6">
        <f>VLOOKUP($L$6,$A$1:$J$1001, 9, 0)</f>
        <v>5632</v>
      </c>
      <c r="V6">
        <f>VLOOKUP($L$6,$A$1:$J$1001, 10, 0)</f>
        <v>322150.40000000002</v>
      </c>
    </row>
    <row r="7" spans="1:22" x14ac:dyDescent="0.3">
      <c r="A7">
        <v>6</v>
      </c>
      <c r="B7">
        <v>683458888</v>
      </c>
      <c r="C7" t="s">
        <v>20</v>
      </c>
      <c r="D7" t="s">
        <v>14</v>
      </c>
      <c r="E7" s="1">
        <v>41944</v>
      </c>
      <c r="F7">
        <f t="shared" si="0"/>
        <v>4</v>
      </c>
      <c r="G7" t="s">
        <v>25</v>
      </c>
      <c r="H7" t="s">
        <v>26</v>
      </c>
      <c r="I7">
        <v>9528</v>
      </c>
      <c r="J7">
        <v>844085.52</v>
      </c>
    </row>
    <row r="8" spans="1:22" x14ac:dyDescent="0.3">
      <c r="A8">
        <v>7</v>
      </c>
      <c r="B8">
        <v>679414975</v>
      </c>
      <c r="C8" t="s">
        <v>20</v>
      </c>
      <c r="D8" t="s">
        <v>14</v>
      </c>
      <c r="E8" s="1">
        <v>42064</v>
      </c>
      <c r="F8">
        <f t="shared" si="0"/>
        <v>1</v>
      </c>
      <c r="G8" t="s">
        <v>27</v>
      </c>
      <c r="H8" t="s">
        <v>28</v>
      </c>
      <c r="I8">
        <v>2844</v>
      </c>
      <c r="J8">
        <v>251949.96</v>
      </c>
      <c r="N8" t="s">
        <v>29</v>
      </c>
    </row>
    <row r="9" spans="1:22" x14ac:dyDescent="0.3">
      <c r="A9">
        <v>8</v>
      </c>
      <c r="B9">
        <v>208630645</v>
      </c>
      <c r="C9" t="s">
        <v>30</v>
      </c>
      <c r="D9" t="s">
        <v>10</v>
      </c>
      <c r="E9" s="1">
        <v>41030</v>
      </c>
      <c r="F9">
        <f t="shared" si="0"/>
        <v>2</v>
      </c>
      <c r="G9" t="s">
        <v>21</v>
      </c>
      <c r="H9" t="s">
        <v>19</v>
      </c>
      <c r="I9">
        <v>7299</v>
      </c>
      <c r="J9">
        <v>536038.56000000006</v>
      </c>
    </row>
    <row r="10" spans="1:22" x14ac:dyDescent="0.3">
      <c r="A10">
        <v>9</v>
      </c>
      <c r="B10">
        <v>266467225</v>
      </c>
      <c r="C10" t="s">
        <v>13</v>
      </c>
      <c r="D10" t="s">
        <v>14</v>
      </c>
      <c r="E10" s="1">
        <v>42005</v>
      </c>
      <c r="F10">
        <f t="shared" si="0"/>
        <v>1</v>
      </c>
      <c r="G10" t="s">
        <v>31</v>
      </c>
      <c r="H10" t="s">
        <v>19</v>
      </c>
      <c r="I10">
        <v>2428</v>
      </c>
      <c r="J10">
        <v>153279.64000000001</v>
      </c>
    </row>
    <row r="11" spans="1:22" x14ac:dyDescent="0.3">
      <c r="A11">
        <v>10</v>
      </c>
      <c r="B11">
        <v>118598544</v>
      </c>
      <c r="C11" t="s">
        <v>13</v>
      </c>
      <c r="D11" t="s">
        <v>10</v>
      </c>
      <c r="E11" s="1">
        <v>41609</v>
      </c>
      <c r="F11">
        <f t="shared" si="0"/>
        <v>4</v>
      </c>
      <c r="G11" t="s">
        <v>32</v>
      </c>
      <c r="H11" t="s">
        <v>26</v>
      </c>
      <c r="I11">
        <v>4800</v>
      </c>
      <c r="J11">
        <v>303024</v>
      </c>
    </row>
    <row r="12" spans="1:22" x14ac:dyDescent="0.3">
      <c r="A12">
        <v>11</v>
      </c>
      <c r="B12">
        <v>451010930</v>
      </c>
      <c r="C12" t="s">
        <v>30</v>
      </c>
      <c r="D12" t="s">
        <v>14</v>
      </c>
      <c r="E12" s="1">
        <v>42339</v>
      </c>
      <c r="F12">
        <f t="shared" si="0"/>
        <v>4</v>
      </c>
      <c r="G12" t="s">
        <v>33</v>
      </c>
      <c r="H12" t="s">
        <v>12</v>
      </c>
      <c r="I12">
        <v>3012</v>
      </c>
      <c r="J12">
        <v>221201.28</v>
      </c>
    </row>
    <row r="13" spans="1:22" x14ac:dyDescent="0.3">
      <c r="A13">
        <v>12</v>
      </c>
      <c r="B13">
        <v>220003211</v>
      </c>
      <c r="C13" t="s">
        <v>34</v>
      </c>
      <c r="D13" t="s">
        <v>10</v>
      </c>
      <c r="E13" s="1">
        <v>40210</v>
      </c>
      <c r="F13">
        <f t="shared" si="0"/>
        <v>1</v>
      </c>
      <c r="G13" t="s">
        <v>35</v>
      </c>
      <c r="H13" t="s">
        <v>19</v>
      </c>
      <c r="I13">
        <v>2694</v>
      </c>
      <c r="J13">
        <v>148547.16</v>
      </c>
    </row>
    <row r="14" spans="1:22" x14ac:dyDescent="0.3">
      <c r="A14">
        <v>13</v>
      </c>
      <c r="B14">
        <v>702186715</v>
      </c>
      <c r="C14" t="s">
        <v>36</v>
      </c>
      <c r="D14" t="s">
        <v>14</v>
      </c>
      <c r="E14" s="1">
        <v>42675</v>
      </c>
      <c r="F14">
        <f t="shared" si="0"/>
        <v>4</v>
      </c>
      <c r="G14" t="s">
        <v>37</v>
      </c>
      <c r="H14" t="s">
        <v>26</v>
      </c>
      <c r="I14">
        <v>1508</v>
      </c>
      <c r="J14">
        <v>249920.84</v>
      </c>
    </row>
    <row r="15" spans="1:22" x14ac:dyDescent="0.3">
      <c r="A15">
        <v>14</v>
      </c>
      <c r="B15">
        <v>544485270</v>
      </c>
      <c r="C15" t="s">
        <v>9</v>
      </c>
      <c r="D15" t="s">
        <v>14</v>
      </c>
      <c r="E15" s="1">
        <v>42339</v>
      </c>
      <c r="F15">
        <f t="shared" si="0"/>
        <v>4</v>
      </c>
      <c r="G15" t="s">
        <v>38</v>
      </c>
      <c r="H15" t="s">
        <v>16</v>
      </c>
      <c r="I15">
        <v>4146</v>
      </c>
      <c r="J15">
        <v>720865.02</v>
      </c>
    </row>
    <row r="16" spans="1:22" x14ac:dyDescent="0.3">
      <c r="A16">
        <v>15</v>
      </c>
      <c r="B16">
        <v>714135205</v>
      </c>
      <c r="C16" t="s">
        <v>24</v>
      </c>
      <c r="D16" t="s">
        <v>10</v>
      </c>
      <c r="E16" s="1">
        <v>40544</v>
      </c>
      <c r="F16">
        <f t="shared" si="0"/>
        <v>1</v>
      </c>
      <c r="G16" t="s">
        <v>39</v>
      </c>
      <c r="H16" t="s">
        <v>28</v>
      </c>
      <c r="I16">
        <v>7332</v>
      </c>
      <c r="J16">
        <v>17670.12</v>
      </c>
    </row>
    <row r="17" spans="1:10" x14ac:dyDescent="0.3">
      <c r="A17">
        <v>16</v>
      </c>
      <c r="B17">
        <v>448685348</v>
      </c>
      <c r="C17" t="s">
        <v>30</v>
      </c>
      <c r="D17" t="s">
        <v>10</v>
      </c>
      <c r="E17" s="1">
        <v>40330</v>
      </c>
      <c r="F17">
        <f t="shared" si="0"/>
        <v>2</v>
      </c>
      <c r="G17" t="s">
        <v>25</v>
      </c>
      <c r="H17" t="s">
        <v>26</v>
      </c>
      <c r="I17">
        <v>4820</v>
      </c>
      <c r="J17">
        <v>353980.8</v>
      </c>
    </row>
    <row r="18" spans="1:10" x14ac:dyDescent="0.3">
      <c r="A18">
        <v>17</v>
      </c>
      <c r="B18">
        <v>405997025</v>
      </c>
      <c r="C18" t="s">
        <v>40</v>
      </c>
      <c r="D18" t="s">
        <v>14</v>
      </c>
      <c r="E18" s="1">
        <v>42461</v>
      </c>
      <c r="F18">
        <f t="shared" si="0"/>
        <v>2</v>
      </c>
      <c r="G18" t="s">
        <v>35</v>
      </c>
      <c r="H18" t="s">
        <v>19</v>
      </c>
      <c r="I18">
        <v>2397</v>
      </c>
      <c r="J18">
        <v>302621.25</v>
      </c>
    </row>
    <row r="19" spans="1:10" x14ac:dyDescent="0.3">
      <c r="A19">
        <v>18</v>
      </c>
      <c r="B19">
        <v>414244067</v>
      </c>
      <c r="C19" t="s">
        <v>41</v>
      </c>
      <c r="D19" t="s">
        <v>14</v>
      </c>
      <c r="E19" s="1">
        <v>41091</v>
      </c>
      <c r="F19">
        <f t="shared" si="0"/>
        <v>3</v>
      </c>
      <c r="G19" t="s">
        <v>37</v>
      </c>
      <c r="H19" t="s">
        <v>26</v>
      </c>
      <c r="I19">
        <v>2880</v>
      </c>
      <c r="J19">
        <v>45100.800000000003</v>
      </c>
    </row>
    <row r="20" spans="1:10" x14ac:dyDescent="0.3">
      <c r="A20">
        <v>19</v>
      </c>
      <c r="B20">
        <v>821912801</v>
      </c>
      <c r="C20" t="s">
        <v>30</v>
      </c>
      <c r="D20" t="s">
        <v>14</v>
      </c>
      <c r="E20" s="1">
        <v>41883</v>
      </c>
      <c r="F20">
        <f t="shared" si="0"/>
        <v>3</v>
      </c>
      <c r="G20" t="s">
        <v>21</v>
      </c>
      <c r="H20" t="s">
        <v>19</v>
      </c>
      <c r="I20">
        <v>1117</v>
      </c>
      <c r="J20">
        <v>82032.479999999996</v>
      </c>
    </row>
    <row r="21" spans="1:10" x14ac:dyDescent="0.3">
      <c r="A21">
        <v>20</v>
      </c>
      <c r="B21">
        <v>247802054</v>
      </c>
      <c r="C21" t="s">
        <v>36</v>
      </c>
      <c r="D21" t="s">
        <v>10</v>
      </c>
      <c r="E21" s="1">
        <v>41122</v>
      </c>
      <c r="F21">
        <f t="shared" si="0"/>
        <v>3</v>
      </c>
      <c r="G21" t="s">
        <v>42</v>
      </c>
      <c r="H21" t="s">
        <v>26</v>
      </c>
      <c r="I21">
        <v>8989</v>
      </c>
      <c r="J21">
        <v>1489746.97</v>
      </c>
    </row>
    <row r="22" spans="1:10" x14ac:dyDescent="0.3">
      <c r="A22">
        <v>21</v>
      </c>
      <c r="B22">
        <v>531023156</v>
      </c>
      <c r="C22" t="s">
        <v>34</v>
      </c>
      <c r="D22" t="s">
        <v>14</v>
      </c>
      <c r="E22" s="1">
        <v>41153</v>
      </c>
      <c r="F22">
        <f t="shared" si="0"/>
        <v>3</v>
      </c>
      <c r="G22" t="s">
        <v>42</v>
      </c>
      <c r="H22" t="s">
        <v>26</v>
      </c>
      <c r="I22">
        <v>407</v>
      </c>
      <c r="J22">
        <v>22441.98</v>
      </c>
    </row>
    <row r="23" spans="1:10" x14ac:dyDescent="0.3">
      <c r="A23">
        <v>22</v>
      </c>
      <c r="B23">
        <v>880999934</v>
      </c>
      <c r="C23" t="s">
        <v>30</v>
      </c>
      <c r="D23" t="s">
        <v>14</v>
      </c>
      <c r="E23" s="1">
        <v>40391</v>
      </c>
      <c r="F23">
        <f t="shared" si="0"/>
        <v>3</v>
      </c>
      <c r="G23" t="s">
        <v>35</v>
      </c>
      <c r="H23" t="s">
        <v>19</v>
      </c>
      <c r="I23">
        <v>6313</v>
      </c>
      <c r="J23">
        <v>463626.72</v>
      </c>
    </row>
    <row r="24" spans="1:10" x14ac:dyDescent="0.3">
      <c r="A24">
        <v>23</v>
      </c>
      <c r="B24">
        <v>127468717</v>
      </c>
      <c r="C24" t="s">
        <v>43</v>
      </c>
      <c r="D24" t="s">
        <v>14</v>
      </c>
      <c r="E24" s="1">
        <v>40575</v>
      </c>
      <c r="F24">
        <f t="shared" si="0"/>
        <v>1</v>
      </c>
      <c r="G24" t="s">
        <v>39</v>
      </c>
      <c r="H24" t="s">
        <v>28</v>
      </c>
      <c r="I24">
        <v>9681</v>
      </c>
      <c r="J24">
        <v>242605.86</v>
      </c>
    </row>
    <row r="25" spans="1:10" x14ac:dyDescent="0.3">
      <c r="A25">
        <v>24</v>
      </c>
      <c r="B25">
        <v>770478332</v>
      </c>
      <c r="C25" t="s">
        <v>30</v>
      </c>
      <c r="D25" t="s">
        <v>14</v>
      </c>
      <c r="E25" s="1">
        <v>42339</v>
      </c>
      <c r="F25">
        <f t="shared" si="0"/>
        <v>4</v>
      </c>
      <c r="G25" t="s">
        <v>44</v>
      </c>
      <c r="H25" t="s">
        <v>26</v>
      </c>
      <c r="I25">
        <v>515</v>
      </c>
      <c r="J25">
        <v>37821.599999999999</v>
      </c>
    </row>
    <row r="26" spans="1:10" x14ac:dyDescent="0.3">
      <c r="A26">
        <v>25</v>
      </c>
      <c r="B26">
        <v>430390107</v>
      </c>
      <c r="C26" t="s">
        <v>20</v>
      </c>
      <c r="D26" t="s">
        <v>14</v>
      </c>
      <c r="E26" s="1">
        <v>41183</v>
      </c>
      <c r="F26">
        <f t="shared" si="0"/>
        <v>4</v>
      </c>
      <c r="G26" t="s">
        <v>25</v>
      </c>
      <c r="H26" t="s">
        <v>26</v>
      </c>
      <c r="I26">
        <v>852</v>
      </c>
      <c r="J26">
        <v>75478.679999999993</v>
      </c>
    </row>
    <row r="27" spans="1:10" x14ac:dyDescent="0.3">
      <c r="A27">
        <v>26</v>
      </c>
      <c r="B27">
        <v>397877871</v>
      </c>
      <c r="C27" t="s">
        <v>41</v>
      </c>
      <c r="D27" t="s">
        <v>14</v>
      </c>
      <c r="E27" s="1">
        <v>42736</v>
      </c>
      <c r="F27">
        <f t="shared" si="0"/>
        <v>1</v>
      </c>
      <c r="G27" t="s">
        <v>45</v>
      </c>
      <c r="H27" t="s">
        <v>12</v>
      </c>
      <c r="I27">
        <v>9759</v>
      </c>
      <c r="J27">
        <v>152825.94</v>
      </c>
    </row>
    <row r="28" spans="1:10" x14ac:dyDescent="0.3">
      <c r="A28">
        <v>27</v>
      </c>
      <c r="B28">
        <v>683927953</v>
      </c>
      <c r="C28" t="s">
        <v>41</v>
      </c>
      <c r="D28" t="s">
        <v>10</v>
      </c>
      <c r="E28" s="1">
        <v>41913</v>
      </c>
      <c r="F28">
        <f t="shared" si="0"/>
        <v>4</v>
      </c>
      <c r="G28" t="s">
        <v>46</v>
      </c>
      <c r="H28" t="s">
        <v>28</v>
      </c>
      <c r="I28">
        <v>8334</v>
      </c>
      <c r="J28">
        <v>130510.44</v>
      </c>
    </row>
    <row r="29" spans="1:10" x14ac:dyDescent="0.3">
      <c r="A29">
        <v>28</v>
      </c>
      <c r="B29">
        <v>469839179</v>
      </c>
      <c r="C29" t="s">
        <v>24</v>
      </c>
      <c r="D29" t="s">
        <v>10</v>
      </c>
      <c r="E29" s="1">
        <v>40909</v>
      </c>
      <c r="F29">
        <f t="shared" si="0"/>
        <v>1</v>
      </c>
      <c r="G29" t="s">
        <v>27</v>
      </c>
      <c r="H29" t="s">
        <v>28</v>
      </c>
      <c r="I29">
        <v>4709</v>
      </c>
      <c r="J29">
        <v>11348.69</v>
      </c>
    </row>
    <row r="30" spans="1:10" x14ac:dyDescent="0.3">
      <c r="A30">
        <v>29</v>
      </c>
      <c r="B30">
        <v>357222878</v>
      </c>
      <c r="C30" t="s">
        <v>47</v>
      </c>
      <c r="D30" t="s">
        <v>10</v>
      </c>
      <c r="E30" s="1">
        <v>42370</v>
      </c>
      <c r="F30">
        <f t="shared" si="0"/>
        <v>1</v>
      </c>
      <c r="G30" t="s">
        <v>33</v>
      </c>
      <c r="H30" t="s">
        <v>12</v>
      </c>
      <c r="I30">
        <v>9043</v>
      </c>
      <c r="J30">
        <v>517259.6</v>
      </c>
    </row>
    <row r="31" spans="1:10" x14ac:dyDescent="0.3">
      <c r="A31">
        <v>30</v>
      </c>
      <c r="B31">
        <v>118002879</v>
      </c>
      <c r="C31" t="s">
        <v>43</v>
      </c>
      <c r="D31" t="s">
        <v>14</v>
      </c>
      <c r="E31" s="1">
        <v>42370</v>
      </c>
      <c r="F31">
        <f t="shared" si="0"/>
        <v>1</v>
      </c>
      <c r="G31" t="s">
        <v>25</v>
      </c>
      <c r="H31" t="s">
        <v>26</v>
      </c>
      <c r="I31">
        <v>8529</v>
      </c>
      <c r="J31">
        <v>213736.74</v>
      </c>
    </row>
    <row r="32" spans="1:10" x14ac:dyDescent="0.3">
      <c r="A32">
        <v>31</v>
      </c>
      <c r="B32">
        <v>944415509</v>
      </c>
      <c r="C32" t="s">
        <v>41</v>
      </c>
      <c r="D32" t="s">
        <v>10</v>
      </c>
      <c r="E32" s="1">
        <v>42887</v>
      </c>
      <c r="F32">
        <f t="shared" si="0"/>
        <v>2</v>
      </c>
      <c r="G32" t="s">
        <v>48</v>
      </c>
      <c r="H32" t="s">
        <v>16</v>
      </c>
      <c r="I32">
        <v>2391</v>
      </c>
      <c r="J32">
        <v>37443.06</v>
      </c>
    </row>
    <row r="33" spans="1:10" x14ac:dyDescent="0.3">
      <c r="A33">
        <v>32</v>
      </c>
      <c r="B33">
        <v>499009597</v>
      </c>
      <c r="C33" t="s">
        <v>40</v>
      </c>
      <c r="D33" t="s">
        <v>14</v>
      </c>
      <c r="E33" s="1">
        <v>42156</v>
      </c>
      <c r="F33">
        <f t="shared" si="0"/>
        <v>2</v>
      </c>
      <c r="G33" t="s">
        <v>21</v>
      </c>
      <c r="H33" t="s">
        <v>19</v>
      </c>
      <c r="I33">
        <v>6884</v>
      </c>
      <c r="J33">
        <v>869105</v>
      </c>
    </row>
    <row r="34" spans="1:10" x14ac:dyDescent="0.3">
      <c r="A34">
        <v>33</v>
      </c>
      <c r="B34">
        <v>564646470</v>
      </c>
      <c r="C34" t="s">
        <v>24</v>
      </c>
      <c r="D34" t="s">
        <v>14</v>
      </c>
      <c r="E34" s="1">
        <v>41640</v>
      </c>
      <c r="F34">
        <f t="shared" si="0"/>
        <v>1</v>
      </c>
      <c r="G34" t="s">
        <v>42</v>
      </c>
      <c r="H34" t="s">
        <v>26</v>
      </c>
      <c r="I34">
        <v>293</v>
      </c>
      <c r="J34">
        <v>706.13</v>
      </c>
    </row>
    <row r="35" spans="1:10" x14ac:dyDescent="0.3">
      <c r="A35">
        <v>34</v>
      </c>
      <c r="B35">
        <v>294499957</v>
      </c>
      <c r="C35" t="s">
        <v>17</v>
      </c>
      <c r="D35" t="s">
        <v>10</v>
      </c>
      <c r="E35" s="1">
        <v>41730</v>
      </c>
      <c r="F35">
        <f t="shared" si="0"/>
        <v>2</v>
      </c>
      <c r="G35" t="s">
        <v>39</v>
      </c>
      <c r="H35" t="s">
        <v>28</v>
      </c>
      <c r="I35">
        <v>7937</v>
      </c>
      <c r="J35">
        <v>760840.82</v>
      </c>
    </row>
    <row r="36" spans="1:10" x14ac:dyDescent="0.3">
      <c r="A36">
        <v>35</v>
      </c>
      <c r="B36">
        <v>262056386</v>
      </c>
      <c r="C36" t="s">
        <v>41</v>
      </c>
      <c r="D36" t="s">
        <v>10</v>
      </c>
      <c r="E36" s="1">
        <v>40422</v>
      </c>
      <c r="F36">
        <f t="shared" si="0"/>
        <v>3</v>
      </c>
      <c r="G36" t="s">
        <v>25</v>
      </c>
      <c r="H36" t="s">
        <v>26</v>
      </c>
      <c r="I36">
        <v>7163</v>
      </c>
      <c r="J36">
        <v>112172.58</v>
      </c>
    </row>
    <row r="37" spans="1:10" x14ac:dyDescent="0.3">
      <c r="A37">
        <v>36</v>
      </c>
      <c r="B37">
        <v>211114585</v>
      </c>
      <c r="C37" t="s">
        <v>40</v>
      </c>
      <c r="D37" t="s">
        <v>14</v>
      </c>
      <c r="E37" s="1">
        <v>40299</v>
      </c>
      <c r="F37">
        <f t="shared" si="0"/>
        <v>2</v>
      </c>
      <c r="G37" t="s">
        <v>49</v>
      </c>
      <c r="H37" t="s">
        <v>19</v>
      </c>
      <c r="I37">
        <v>2352</v>
      </c>
      <c r="J37">
        <v>296940</v>
      </c>
    </row>
    <row r="38" spans="1:10" x14ac:dyDescent="0.3">
      <c r="A38">
        <v>37</v>
      </c>
      <c r="B38">
        <v>405785882</v>
      </c>
      <c r="C38" t="s">
        <v>40</v>
      </c>
      <c r="D38" t="s">
        <v>10</v>
      </c>
      <c r="E38" s="1">
        <v>41548</v>
      </c>
      <c r="F38">
        <f t="shared" si="0"/>
        <v>4</v>
      </c>
      <c r="G38" t="s">
        <v>31</v>
      </c>
      <c r="H38" t="s">
        <v>19</v>
      </c>
      <c r="I38">
        <v>9915</v>
      </c>
      <c r="J38">
        <v>1251768.75</v>
      </c>
    </row>
    <row r="39" spans="1:10" x14ac:dyDescent="0.3">
      <c r="A39">
        <v>38</v>
      </c>
      <c r="B39">
        <v>280494105</v>
      </c>
      <c r="C39" t="s">
        <v>13</v>
      </c>
      <c r="D39" t="s">
        <v>10</v>
      </c>
      <c r="E39" s="1">
        <v>40603</v>
      </c>
      <c r="F39">
        <f t="shared" si="0"/>
        <v>1</v>
      </c>
      <c r="G39" t="s">
        <v>50</v>
      </c>
      <c r="H39" t="s">
        <v>16</v>
      </c>
      <c r="I39">
        <v>3294</v>
      </c>
      <c r="J39">
        <v>207950.22</v>
      </c>
    </row>
    <row r="40" spans="1:10" x14ac:dyDescent="0.3">
      <c r="A40">
        <v>39</v>
      </c>
      <c r="B40">
        <v>689975583</v>
      </c>
      <c r="C40" t="s">
        <v>17</v>
      </c>
      <c r="D40" t="s">
        <v>14</v>
      </c>
      <c r="E40" s="1">
        <v>42583</v>
      </c>
      <c r="F40">
        <f t="shared" si="0"/>
        <v>3</v>
      </c>
      <c r="G40" t="s">
        <v>51</v>
      </c>
      <c r="H40" t="s">
        <v>26</v>
      </c>
      <c r="I40">
        <v>7963</v>
      </c>
      <c r="J40">
        <v>763333.18</v>
      </c>
    </row>
    <row r="41" spans="1:10" x14ac:dyDescent="0.3">
      <c r="A41">
        <v>40</v>
      </c>
      <c r="B41">
        <v>759279143</v>
      </c>
      <c r="C41" t="s">
        <v>40</v>
      </c>
      <c r="D41" t="s">
        <v>14</v>
      </c>
      <c r="E41" s="1">
        <v>40544</v>
      </c>
      <c r="F41">
        <f t="shared" si="0"/>
        <v>1</v>
      </c>
      <c r="G41" t="s">
        <v>35</v>
      </c>
      <c r="H41" t="s">
        <v>19</v>
      </c>
      <c r="I41">
        <v>6426</v>
      </c>
      <c r="J41">
        <v>811282.5</v>
      </c>
    </row>
    <row r="42" spans="1:10" x14ac:dyDescent="0.3">
      <c r="A42">
        <v>41</v>
      </c>
      <c r="B42">
        <v>133766114</v>
      </c>
      <c r="C42" t="s">
        <v>40</v>
      </c>
      <c r="D42" t="s">
        <v>10</v>
      </c>
      <c r="E42" s="1">
        <v>41760</v>
      </c>
      <c r="F42">
        <f t="shared" si="0"/>
        <v>2</v>
      </c>
      <c r="G42" t="s">
        <v>52</v>
      </c>
      <c r="H42" t="s">
        <v>19</v>
      </c>
      <c r="I42">
        <v>3221</v>
      </c>
      <c r="J42">
        <v>406651.25</v>
      </c>
    </row>
    <row r="43" spans="1:10" x14ac:dyDescent="0.3">
      <c r="A43">
        <v>42</v>
      </c>
      <c r="B43">
        <v>329110324</v>
      </c>
      <c r="C43" t="s">
        <v>41</v>
      </c>
      <c r="D43" t="s">
        <v>14</v>
      </c>
      <c r="E43" s="1">
        <v>41487</v>
      </c>
      <c r="F43">
        <f t="shared" si="0"/>
        <v>3</v>
      </c>
      <c r="G43" t="s">
        <v>51</v>
      </c>
      <c r="H43" t="s">
        <v>26</v>
      </c>
      <c r="I43">
        <v>9913</v>
      </c>
      <c r="J43">
        <v>155237.57999999999</v>
      </c>
    </row>
    <row r="44" spans="1:10" x14ac:dyDescent="0.3">
      <c r="A44">
        <v>43</v>
      </c>
      <c r="B44">
        <v>681298100</v>
      </c>
      <c r="C44" t="s">
        <v>47</v>
      </c>
      <c r="D44" t="s">
        <v>14</v>
      </c>
      <c r="E44" s="1">
        <v>40817</v>
      </c>
      <c r="F44">
        <f t="shared" si="0"/>
        <v>4</v>
      </c>
      <c r="G44" t="s">
        <v>50</v>
      </c>
      <c r="H44" t="s">
        <v>16</v>
      </c>
      <c r="I44">
        <v>103</v>
      </c>
      <c r="J44">
        <v>5891.6</v>
      </c>
    </row>
    <row r="45" spans="1:10" x14ac:dyDescent="0.3">
      <c r="A45">
        <v>44</v>
      </c>
      <c r="B45">
        <v>596628272</v>
      </c>
      <c r="C45" t="s">
        <v>34</v>
      </c>
      <c r="D45" t="s">
        <v>10</v>
      </c>
      <c r="E45" s="1">
        <v>42675</v>
      </c>
      <c r="F45">
        <f t="shared" si="0"/>
        <v>4</v>
      </c>
      <c r="G45" t="s">
        <v>42</v>
      </c>
      <c r="H45" t="s">
        <v>26</v>
      </c>
      <c r="I45">
        <v>4419</v>
      </c>
      <c r="J45">
        <v>243663.66</v>
      </c>
    </row>
    <row r="46" spans="1:10" x14ac:dyDescent="0.3">
      <c r="A46">
        <v>45</v>
      </c>
      <c r="B46">
        <v>901712167</v>
      </c>
      <c r="C46" t="s">
        <v>40</v>
      </c>
      <c r="D46" t="s">
        <v>10</v>
      </c>
      <c r="E46" s="1">
        <v>42095</v>
      </c>
      <c r="F46">
        <f t="shared" si="0"/>
        <v>2</v>
      </c>
      <c r="G46" t="s">
        <v>53</v>
      </c>
      <c r="H46" t="s">
        <v>16</v>
      </c>
      <c r="I46">
        <v>5523</v>
      </c>
      <c r="J46">
        <v>697278.75</v>
      </c>
    </row>
    <row r="47" spans="1:10" x14ac:dyDescent="0.3">
      <c r="A47">
        <v>46</v>
      </c>
      <c r="B47">
        <v>693473613</v>
      </c>
      <c r="C47" t="s">
        <v>41</v>
      </c>
      <c r="D47" t="s">
        <v>14</v>
      </c>
      <c r="E47" s="1">
        <v>41334</v>
      </c>
      <c r="F47">
        <f t="shared" si="0"/>
        <v>1</v>
      </c>
      <c r="G47" t="s">
        <v>48</v>
      </c>
      <c r="H47" t="s">
        <v>16</v>
      </c>
      <c r="I47">
        <v>3107</v>
      </c>
      <c r="J47">
        <v>48655.62</v>
      </c>
    </row>
    <row r="48" spans="1:10" x14ac:dyDescent="0.3">
      <c r="A48">
        <v>47</v>
      </c>
      <c r="B48">
        <v>489148938</v>
      </c>
      <c r="C48" t="s">
        <v>47</v>
      </c>
      <c r="D48" t="s">
        <v>14</v>
      </c>
      <c r="E48" s="1">
        <v>40391</v>
      </c>
      <c r="F48">
        <f t="shared" si="0"/>
        <v>3</v>
      </c>
      <c r="G48" t="s">
        <v>25</v>
      </c>
      <c r="H48" t="s">
        <v>26</v>
      </c>
      <c r="I48">
        <v>8896</v>
      </c>
      <c r="J48">
        <v>508851.20000000001</v>
      </c>
    </row>
    <row r="49" spans="1:10" x14ac:dyDescent="0.3">
      <c r="A49">
        <v>48</v>
      </c>
      <c r="B49">
        <v>876286971</v>
      </c>
      <c r="C49" t="s">
        <v>36</v>
      </c>
      <c r="D49" t="s">
        <v>14</v>
      </c>
      <c r="E49" s="1">
        <v>40909</v>
      </c>
      <c r="F49">
        <f t="shared" si="0"/>
        <v>1</v>
      </c>
      <c r="G49" t="s">
        <v>39</v>
      </c>
      <c r="H49" t="s">
        <v>28</v>
      </c>
      <c r="I49">
        <v>1643</v>
      </c>
      <c r="J49">
        <v>272294.39</v>
      </c>
    </row>
    <row r="50" spans="1:10" x14ac:dyDescent="0.3">
      <c r="A50">
        <v>49</v>
      </c>
      <c r="B50">
        <v>262749040</v>
      </c>
      <c r="C50" t="s">
        <v>43</v>
      </c>
      <c r="D50" t="s">
        <v>10</v>
      </c>
      <c r="E50" s="1">
        <v>42217</v>
      </c>
      <c r="F50">
        <f t="shared" si="0"/>
        <v>3</v>
      </c>
      <c r="G50" t="s">
        <v>50</v>
      </c>
      <c r="H50" t="s">
        <v>16</v>
      </c>
      <c r="I50">
        <v>2135</v>
      </c>
      <c r="J50">
        <v>53503.1</v>
      </c>
    </row>
    <row r="51" spans="1:10" x14ac:dyDescent="0.3">
      <c r="A51">
        <v>50</v>
      </c>
      <c r="B51">
        <v>726708972</v>
      </c>
      <c r="C51" t="s">
        <v>47</v>
      </c>
      <c r="D51" t="s">
        <v>14</v>
      </c>
      <c r="E51" s="1">
        <v>42705</v>
      </c>
      <c r="F51">
        <f t="shared" si="0"/>
        <v>4</v>
      </c>
      <c r="G51" t="s">
        <v>33</v>
      </c>
      <c r="H51" t="s">
        <v>12</v>
      </c>
      <c r="I51">
        <v>8189</v>
      </c>
      <c r="J51">
        <v>468410.8</v>
      </c>
    </row>
    <row r="52" spans="1:10" x14ac:dyDescent="0.3">
      <c r="A52">
        <v>51</v>
      </c>
      <c r="B52">
        <v>366653096</v>
      </c>
      <c r="C52" t="s">
        <v>13</v>
      </c>
      <c r="D52" t="s">
        <v>14</v>
      </c>
      <c r="E52" s="1">
        <v>41030</v>
      </c>
      <c r="F52">
        <f t="shared" si="0"/>
        <v>2</v>
      </c>
      <c r="G52" t="s">
        <v>21</v>
      </c>
      <c r="H52" t="s">
        <v>19</v>
      </c>
      <c r="I52">
        <v>9654</v>
      </c>
      <c r="J52">
        <v>609457.02</v>
      </c>
    </row>
    <row r="53" spans="1:10" x14ac:dyDescent="0.3">
      <c r="A53">
        <v>52</v>
      </c>
      <c r="B53">
        <v>951380240</v>
      </c>
      <c r="C53" t="s">
        <v>13</v>
      </c>
      <c r="D53" t="s">
        <v>14</v>
      </c>
      <c r="E53" s="1">
        <v>40483</v>
      </c>
      <c r="F53">
        <f t="shared" si="0"/>
        <v>4</v>
      </c>
      <c r="G53" t="s">
        <v>54</v>
      </c>
      <c r="H53" t="s">
        <v>16</v>
      </c>
      <c r="I53">
        <v>3410</v>
      </c>
      <c r="J53">
        <v>215273.3</v>
      </c>
    </row>
    <row r="54" spans="1:10" x14ac:dyDescent="0.3">
      <c r="A54">
        <v>53</v>
      </c>
      <c r="B54">
        <v>270001733</v>
      </c>
      <c r="C54" t="s">
        <v>9</v>
      </c>
      <c r="D54" t="s">
        <v>14</v>
      </c>
      <c r="E54" s="1">
        <v>41944</v>
      </c>
      <c r="F54">
        <f t="shared" si="0"/>
        <v>4</v>
      </c>
      <c r="G54" t="s">
        <v>21</v>
      </c>
      <c r="H54" t="s">
        <v>19</v>
      </c>
      <c r="I54">
        <v>8368</v>
      </c>
      <c r="J54">
        <v>1454944.16</v>
      </c>
    </row>
    <row r="55" spans="1:10" x14ac:dyDescent="0.3">
      <c r="A55">
        <v>54</v>
      </c>
      <c r="B55">
        <v>681941401</v>
      </c>
      <c r="C55" t="s">
        <v>41</v>
      </c>
      <c r="D55" t="s">
        <v>14</v>
      </c>
      <c r="E55" s="1">
        <v>42522</v>
      </c>
      <c r="F55">
        <f t="shared" si="0"/>
        <v>2</v>
      </c>
      <c r="G55" t="s">
        <v>11</v>
      </c>
      <c r="H55" t="s">
        <v>12</v>
      </c>
      <c r="I55">
        <v>470</v>
      </c>
      <c r="J55">
        <v>7360.2</v>
      </c>
    </row>
    <row r="56" spans="1:10" x14ac:dyDescent="0.3">
      <c r="A56">
        <v>55</v>
      </c>
      <c r="B56">
        <v>566935575</v>
      </c>
      <c r="C56" t="s">
        <v>24</v>
      </c>
      <c r="D56" t="s">
        <v>14</v>
      </c>
      <c r="E56" s="1">
        <v>42491</v>
      </c>
      <c r="F56">
        <f t="shared" si="0"/>
        <v>2</v>
      </c>
      <c r="G56" t="s">
        <v>46</v>
      </c>
      <c r="H56" t="s">
        <v>28</v>
      </c>
      <c r="I56">
        <v>7690</v>
      </c>
      <c r="J56">
        <v>18532.900000000001</v>
      </c>
    </row>
    <row r="57" spans="1:10" x14ac:dyDescent="0.3">
      <c r="A57">
        <v>56</v>
      </c>
      <c r="B57">
        <v>175033080</v>
      </c>
      <c r="C57" t="s">
        <v>34</v>
      </c>
      <c r="D57" t="s">
        <v>10</v>
      </c>
      <c r="E57" s="1">
        <v>41183</v>
      </c>
      <c r="F57">
        <f t="shared" si="0"/>
        <v>4</v>
      </c>
      <c r="G57" t="s">
        <v>55</v>
      </c>
      <c r="H57" t="s">
        <v>26</v>
      </c>
      <c r="I57">
        <v>5033</v>
      </c>
      <c r="J57">
        <v>277519.62</v>
      </c>
    </row>
    <row r="58" spans="1:10" x14ac:dyDescent="0.3">
      <c r="A58">
        <v>57</v>
      </c>
      <c r="B58">
        <v>276595246</v>
      </c>
      <c r="C58" t="s">
        <v>40</v>
      </c>
      <c r="D58" t="s">
        <v>10</v>
      </c>
      <c r="E58" s="1">
        <v>40969</v>
      </c>
      <c r="F58">
        <f t="shared" si="0"/>
        <v>1</v>
      </c>
      <c r="G58" t="s">
        <v>54</v>
      </c>
      <c r="H58" t="s">
        <v>16</v>
      </c>
      <c r="I58">
        <v>9535</v>
      </c>
      <c r="J58">
        <v>1203793.75</v>
      </c>
    </row>
    <row r="59" spans="1:10" x14ac:dyDescent="0.3">
      <c r="A59">
        <v>58</v>
      </c>
      <c r="B59">
        <v>812295901</v>
      </c>
      <c r="C59" t="s">
        <v>40</v>
      </c>
      <c r="D59" t="s">
        <v>14</v>
      </c>
      <c r="E59" s="1">
        <v>40544</v>
      </c>
      <c r="F59">
        <f t="shared" si="0"/>
        <v>1</v>
      </c>
      <c r="G59" t="s">
        <v>48</v>
      </c>
      <c r="H59" t="s">
        <v>16</v>
      </c>
      <c r="I59">
        <v>5263</v>
      </c>
      <c r="J59">
        <v>664453.75</v>
      </c>
    </row>
    <row r="60" spans="1:10" x14ac:dyDescent="0.3">
      <c r="A60">
        <v>59</v>
      </c>
      <c r="B60">
        <v>443121373</v>
      </c>
      <c r="C60" t="s">
        <v>13</v>
      </c>
      <c r="D60" t="s">
        <v>10</v>
      </c>
      <c r="E60" s="1">
        <v>41791</v>
      </c>
      <c r="F60">
        <f t="shared" si="0"/>
        <v>2</v>
      </c>
      <c r="G60" t="s">
        <v>31</v>
      </c>
      <c r="H60" t="s">
        <v>19</v>
      </c>
      <c r="I60">
        <v>8316</v>
      </c>
      <c r="J60">
        <v>524989.07999999996</v>
      </c>
    </row>
    <row r="61" spans="1:10" x14ac:dyDescent="0.3">
      <c r="A61">
        <v>60</v>
      </c>
      <c r="B61">
        <v>600370490</v>
      </c>
      <c r="C61" t="s">
        <v>43</v>
      </c>
      <c r="D61" t="s">
        <v>10</v>
      </c>
      <c r="E61" s="1">
        <v>42705</v>
      </c>
      <c r="F61">
        <f t="shared" si="0"/>
        <v>4</v>
      </c>
      <c r="G61" t="s">
        <v>52</v>
      </c>
      <c r="H61" t="s">
        <v>19</v>
      </c>
      <c r="I61">
        <v>1824</v>
      </c>
      <c r="J61">
        <v>45709.440000000002</v>
      </c>
    </row>
    <row r="62" spans="1:10" x14ac:dyDescent="0.3">
      <c r="A62">
        <v>61</v>
      </c>
      <c r="B62">
        <v>535654580</v>
      </c>
      <c r="C62" t="s">
        <v>40</v>
      </c>
      <c r="D62" t="s">
        <v>14</v>
      </c>
      <c r="E62" s="1">
        <v>41791</v>
      </c>
      <c r="F62">
        <f t="shared" si="0"/>
        <v>2</v>
      </c>
      <c r="G62" t="s">
        <v>50</v>
      </c>
      <c r="H62" t="s">
        <v>16</v>
      </c>
      <c r="I62">
        <v>949</v>
      </c>
      <c r="J62">
        <v>119811.25</v>
      </c>
    </row>
    <row r="63" spans="1:10" x14ac:dyDescent="0.3">
      <c r="A63">
        <v>62</v>
      </c>
      <c r="B63">
        <v>470897471</v>
      </c>
      <c r="C63" t="s">
        <v>9</v>
      </c>
      <c r="D63" t="s">
        <v>10</v>
      </c>
      <c r="E63" s="1">
        <v>42064</v>
      </c>
      <c r="F63">
        <f t="shared" si="0"/>
        <v>1</v>
      </c>
      <c r="G63" t="s">
        <v>56</v>
      </c>
      <c r="H63" t="s">
        <v>19</v>
      </c>
      <c r="I63">
        <v>7881</v>
      </c>
      <c r="J63">
        <v>1370269.47</v>
      </c>
    </row>
    <row r="64" spans="1:10" x14ac:dyDescent="0.3">
      <c r="A64">
        <v>63</v>
      </c>
      <c r="B64">
        <v>248335492</v>
      </c>
      <c r="C64" t="s">
        <v>41</v>
      </c>
      <c r="D64" t="s">
        <v>10</v>
      </c>
      <c r="E64" s="1">
        <v>41365</v>
      </c>
      <c r="F64">
        <f t="shared" si="0"/>
        <v>2</v>
      </c>
      <c r="G64" t="s">
        <v>39</v>
      </c>
      <c r="H64" t="s">
        <v>28</v>
      </c>
      <c r="I64">
        <v>6846</v>
      </c>
      <c r="J64">
        <v>107208.36</v>
      </c>
    </row>
    <row r="65" spans="1:10" x14ac:dyDescent="0.3">
      <c r="A65">
        <v>64</v>
      </c>
      <c r="B65">
        <v>680517470</v>
      </c>
      <c r="C65" t="s">
        <v>30</v>
      </c>
      <c r="D65" t="s">
        <v>10</v>
      </c>
      <c r="E65" s="1">
        <v>42064</v>
      </c>
      <c r="F65">
        <f t="shared" si="0"/>
        <v>1</v>
      </c>
      <c r="G65" t="s">
        <v>46</v>
      </c>
      <c r="H65" t="s">
        <v>28</v>
      </c>
      <c r="I65">
        <v>9097</v>
      </c>
      <c r="J65">
        <v>668083.68000000005</v>
      </c>
    </row>
    <row r="66" spans="1:10" x14ac:dyDescent="0.3">
      <c r="A66">
        <v>65</v>
      </c>
      <c r="B66">
        <v>400304734</v>
      </c>
      <c r="C66" t="s">
        <v>43</v>
      </c>
      <c r="D66" t="s">
        <v>14</v>
      </c>
      <c r="E66" s="1">
        <v>41426</v>
      </c>
      <c r="F66">
        <f t="shared" ref="F66:F129" si="1">ROUNDUP(MONTH(E66)/3,0)</f>
        <v>2</v>
      </c>
      <c r="G66" t="s">
        <v>31</v>
      </c>
      <c r="H66" t="s">
        <v>19</v>
      </c>
      <c r="I66">
        <v>7921</v>
      </c>
      <c r="J66">
        <v>198500.26</v>
      </c>
    </row>
    <row r="67" spans="1:10" x14ac:dyDescent="0.3">
      <c r="A67">
        <v>66</v>
      </c>
      <c r="B67">
        <v>810871112</v>
      </c>
      <c r="C67" t="s">
        <v>40</v>
      </c>
      <c r="D67" t="s">
        <v>10</v>
      </c>
      <c r="E67" s="1">
        <v>41275</v>
      </c>
      <c r="F67">
        <f t="shared" si="1"/>
        <v>1</v>
      </c>
      <c r="G67" t="s">
        <v>57</v>
      </c>
      <c r="H67" t="s">
        <v>16</v>
      </c>
      <c r="I67">
        <v>3636</v>
      </c>
      <c r="J67">
        <v>459045</v>
      </c>
    </row>
    <row r="68" spans="1:10" x14ac:dyDescent="0.3">
      <c r="A68">
        <v>67</v>
      </c>
      <c r="B68">
        <v>235702931</v>
      </c>
      <c r="C68" t="s">
        <v>20</v>
      </c>
      <c r="D68" t="s">
        <v>14</v>
      </c>
      <c r="E68" s="1">
        <v>40969</v>
      </c>
      <c r="F68">
        <f t="shared" si="1"/>
        <v>1</v>
      </c>
      <c r="G68" t="s">
        <v>37</v>
      </c>
      <c r="H68" t="s">
        <v>26</v>
      </c>
      <c r="I68">
        <v>8590</v>
      </c>
      <c r="J68">
        <v>760988.1</v>
      </c>
    </row>
    <row r="69" spans="1:10" x14ac:dyDescent="0.3">
      <c r="A69">
        <v>68</v>
      </c>
      <c r="B69">
        <v>668599021</v>
      </c>
      <c r="C69" t="s">
        <v>40</v>
      </c>
      <c r="D69" t="s">
        <v>10</v>
      </c>
      <c r="E69" s="1">
        <v>41730</v>
      </c>
      <c r="F69">
        <f t="shared" si="1"/>
        <v>2</v>
      </c>
      <c r="G69" t="s">
        <v>39</v>
      </c>
      <c r="H69" t="s">
        <v>28</v>
      </c>
      <c r="I69">
        <v>2163</v>
      </c>
      <c r="J69">
        <v>273078.75</v>
      </c>
    </row>
    <row r="70" spans="1:10" x14ac:dyDescent="0.3">
      <c r="A70">
        <v>69</v>
      </c>
      <c r="B70">
        <v>123670709</v>
      </c>
      <c r="C70" t="s">
        <v>17</v>
      </c>
      <c r="D70" t="s">
        <v>14</v>
      </c>
      <c r="E70" s="1">
        <v>42370</v>
      </c>
      <c r="F70">
        <f t="shared" si="1"/>
        <v>1</v>
      </c>
      <c r="G70" t="s">
        <v>37</v>
      </c>
      <c r="H70" t="s">
        <v>26</v>
      </c>
      <c r="I70">
        <v>5766</v>
      </c>
      <c r="J70">
        <v>552728.76</v>
      </c>
    </row>
    <row r="71" spans="1:10" x14ac:dyDescent="0.3">
      <c r="A71">
        <v>70</v>
      </c>
      <c r="B71">
        <v>285341823</v>
      </c>
      <c r="C71" t="s">
        <v>40</v>
      </c>
      <c r="D71" t="s">
        <v>14</v>
      </c>
      <c r="E71" s="1">
        <v>40664</v>
      </c>
      <c r="F71">
        <f t="shared" si="1"/>
        <v>2</v>
      </c>
      <c r="G71" t="s">
        <v>42</v>
      </c>
      <c r="H71" t="s">
        <v>26</v>
      </c>
      <c r="I71">
        <v>7841</v>
      </c>
      <c r="J71">
        <v>989926.25</v>
      </c>
    </row>
    <row r="72" spans="1:10" x14ac:dyDescent="0.3">
      <c r="A72">
        <v>71</v>
      </c>
      <c r="B72">
        <v>658348691</v>
      </c>
      <c r="C72" t="s">
        <v>24</v>
      </c>
      <c r="D72" t="s">
        <v>14</v>
      </c>
      <c r="E72" s="1">
        <v>40360</v>
      </c>
      <c r="F72">
        <f t="shared" si="1"/>
        <v>3</v>
      </c>
      <c r="G72" t="s">
        <v>32</v>
      </c>
      <c r="H72" t="s">
        <v>26</v>
      </c>
      <c r="I72">
        <v>8862</v>
      </c>
      <c r="J72">
        <v>21357.42</v>
      </c>
    </row>
    <row r="73" spans="1:10" x14ac:dyDescent="0.3">
      <c r="A73">
        <v>72</v>
      </c>
      <c r="B73">
        <v>817740142</v>
      </c>
      <c r="C73" t="s">
        <v>17</v>
      </c>
      <c r="D73" t="s">
        <v>10</v>
      </c>
      <c r="E73" s="1">
        <v>41487</v>
      </c>
      <c r="F73">
        <f t="shared" si="1"/>
        <v>3</v>
      </c>
      <c r="G73" t="s">
        <v>58</v>
      </c>
      <c r="H73" t="s">
        <v>26</v>
      </c>
      <c r="I73">
        <v>6335</v>
      </c>
      <c r="J73">
        <v>607273.1</v>
      </c>
    </row>
    <row r="74" spans="1:10" x14ac:dyDescent="0.3">
      <c r="A74">
        <v>73</v>
      </c>
      <c r="B74">
        <v>858877503</v>
      </c>
      <c r="C74" t="s">
        <v>41</v>
      </c>
      <c r="D74" t="s">
        <v>10</v>
      </c>
      <c r="E74" s="1">
        <v>41548</v>
      </c>
      <c r="F74">
        <f t="shared" si="1"/>
        <v>4</v>
      </c>
      <c r="G74" t="s">
        <v>55</v>
      </c>
      <c r="H74" t="s">
        <v>26</v>
      </c>
      <c r="I74">
        <v>9794</v>
      </c>
      <c r="J74">
        <v>153374.04</v>
      </c>
    </row>
    <row r="75" spans="1:10" x14ac:dyDescent="0.3">
      <c r="A75">
        <v>74</v>
      </c>
      <c r="B75">
        <v>947434604</v>
      </c>
      <c r="C75" t="s">
        <v>13</v>
      </c>
      <c r="D75" t="s">
        <v>10</v>
      </c>
      <c r="E75" s="1">
        <v>42767</v>
      </c>
      <c r="F75">
        <f t="shared" si="1"/>
        <v>1</v>
      </c>
      <c r="G75" t="s">
        <v>48</v>
      </c>
      <c r="H75" t="s">
        <v>16</v>
      </c>
      <c r="I75">
        <v>5808</v>
      </c>
      <c r="J75">
        <v>366659.04</v>
      </c>
    </row>
    <row r="76" spans="1:10" x14ac:dyDescent="0.3">
      <c r="A76">
        <v>75</v>
      </c>
      <c r="B76">
        <v>869397771</v>
      </c>
      <c r="C76" t="s">
        <v>47</v>
      </c>
      <c r="D76" t="s">
        <v>10</v>
      </c>
      <c r="E76" s="1">
        <v>42064</v>
      </c>
      <c r="F76">
        <f t="shared" si="1"/>
        <v>1</v>
      </c>
      <c r="G76" t="s">
        <v>51</v>
      </c>
      <c r="H76" t="s">
        <v>26</v>
      </c>
      <c r="I76">
        <v>2975</v>
      </c>
      <c r="J76">
        <v>170170</v>
      </c>
    </row>
    <row r="77" spans="1:10" x14ac:dyDescent="0.3">
      <c r="A77">
        <v>76</v>
      </c>
      <c r="B77">
        <v>481065833</v>
      </c>
      <c r="C77" t="s">
        <v>43</v>
      </c>
      <c r="D77" t="s">
        <v>10</v>
      </c>
      <c r="E77" s="1">
        <v>41030</v>
      </c>
      <c r="F77">
        <f t="shared" si="1"/>
        <v>2</v>
      </c>
      <c r="G77" t="s">
        <v>49</v>
      </c>
      <c r="H77" t="s">
        <v>19</v>
      </c>
      <c r="I77">
        <v>6925</v>
      </c>
      <c r="J77">
        <v>173540.5</v>
      </c>
    </row>
    <row r="78" spans="1:10" x14ac:dyDescent="0.3">
      <c r="A78">
        <v>77</v>
      </c>
      <c r="B78">
        <v>159050118</v>
      </c>
      <c r="C78" t="s">
        <v>47</v>
      </c>
      <c r="D78" t="s">
        <v>14</v>
      </c>
      <c r="E78" s="1">
        <v>41518</v>
      </c>
      <c r="F78">
        <f t="shared" si="1"/>
        <v>3</v>
      </c>
      <c r="G78" t="s">
        <v>33</v>
      </c>
      <c r="H78" t="s">
        <v>12</v>
      </c>
      <c r="I78">
        <v>5319</v>
      </c>
      <c r="J78">
        <v>304246.8</v>
      </c>
    </row>
    <row r="79" spans="1:10" x14ac:dyDescent="0.3">
      <c r="A79">
        <v>78</v>
      </c>
      <c r="B79">
        <v>350274455</v>
      </c>
      <c r="C79" t="s">
        <v>40</v>
      </c>
      <c r="D79" t="s">
        <v>14</v>
      </c>
      <c r="E79" s="1">
        <v>41760</v>
      </c>
      <c r="F79">
        <f t="shared" si="1"/>
        <v>2</v>
      </c>
      <c r="G79" t="s">
        <v>51</v>
      </c>
      <c r="H79" t="s">
        <v>26</v>
      </c>
      <c r="I79">
        <v>2850</v>
      </c>
      <c r="J79">
        <v>359812.5</v>
      </c>
    </row>
    <row r="80" spans="1:10" x14ac:dyDescent="0.3">
      <c r="A80">
        <v>79</v>
      </c>
      <c r="B80">
        <v>221975171</v>
      </c>
      <c r="C80" t="s">
        <v>20</v>
      </c>
      <c r="D80" t="s">
        <v>14</v>
      </c>
      <c r="E80" s="1">
        <v>40269</v>
      </c>
      <c r="F80">
        <f t="shared" si="1"/>
        <v>2</v>
      </c>
      <c r="G80" t="s">
        <v>11</v>
      </c>
      <c r="H80" t="s">
        <v>12</v>
      </c>
      <c r="I80">
        <v>6241</v>
      </c>
      <c r="J80">
        <v>552890.18999999994</v>
      </c>
    </row>
    <row r="81" spans="1:10" x14ac:dyDescent="0.3">
      <c r="A81">
        <v>80</v>
      </c>
      <c r="B81">
        <v>811701095</v>
      </c>
      <c r="C81" t="s">
        <v>40</v>
      </c>
      <c r="D81" t="s">
        <v>14</v>
      </c>
      <c r="E81" s="1">
        <v>42887</v>
      </c>
      <c r="F81">
        <f t="shared" si="1"/>
        <v>2</v>
      </c>
      <c r="G81" t="s">
        <v>11</v>
      </c>
      <c r="H81" t="s">
        <v>12</v>
      </c>
      <c r="I81">
        <v>9247</v>
      </c>
      <c r="J81">
        <v>1167433.75</v>
      </c>
    </row>
    <row r="82" spans="1:10" x14ac:dyDescent="0.3">
      <c r="A82">
        <v>81</v>
      </c>
      <c r="B82">
        <v>977313554</v>
      </c>
      <c r="C82" t="s">
        <v>20</v>
      </c>
      <c r="D82" t="s">
        <v>14</v>
      </c>
      <c r="E82" s="1">
        <v>42036</v>
      </c>
      <c r="F82">
        <f t="shared" si="1"/>
        <v>1</v>
      </c>
      <c r="G82" t="s">
        <v>21</v>
      </c>
      <c r="H82" t="s">
        <v>19</v>
      </c>
      <c r="I82">
        <v>7653</v>
      </c>
      <c r="J82">
        <v>677979.27</v>
      </c>
    </row>
    <row r="83" spans="1:10" x14ac:dyDescent="0.3">
      <c r="A83">
        <v>82</v>
      </c>
      <c r="B83">
        <v>546986377</v>
      </c>
      <c r="C83" t="s">
        <v>34</v>
      </c>
      <c r="D83" t="s">
        <v>10</v>
      </c>
      <c r="E83" s="1">
        <v>40179</v>
      </c>
      <c r="F83">
        <f t="shared" si="1"/>
        <v>1</v>
      </c>
      <c r="G83" t="s">
        <v>57</v>
      </c>
      <c r="H83" t="s">
        <v>16</v>
      </c>
      <c r="I83">
        <v>4279</v>
      </c>
      <c r="J83">
        <v>235944.06</v>
      </c>
    </row>
    <row r="84" spans="1:10" x14ac:dyDescent="0.3">
      <c r="A84">
        <v>83</v>
      </c>
      <c r="B84">
        <v>769205892</v>
      </c>
      <c r="C84" t="s">
        <v>24</v>
      </c>
      <c r="D84" t="s">
        <v>10</v>
      </c>
      <c r="E84" s="1">
        <v>40238</v>
      </c>
      <c r="F84">
        <f t="shared" si="1"/>
        <v>1</v>
      </c>
      <c r="G84" t="s">
        <v>54</v>
      </c>
      <c r="H84" t="s">
        <v>16</v>
      </c>
      <c r="I84">
        <v>3972</v>
      </c>
      <c r="J84">
        <v>9572.52</v>
      </c>
    </row>
    <row r="85" spans="1:10" x14ac:dyDescent="0.3">
      <c r="A85">
        <v>84</v>
      </c>
      <c r="B85">
        <v>262770926</v>
      </c>
      <c r="C85" t="s">
        <v>30</v>
      </c>
      <c r="D85" t="s">
        <v>10</v>
      </c>
      <c r="E85" s="1">
        <v>41275</v>
      </c>
      <c r="F85">
        <f t="shared" si="1"/>
        <v>1</v>
      </c>
      <c r="G85" t="s">
        <v>39</v>
      </c>
      <c r="H85" t="s">
        <v>28</v>
      </c>
      <c r="I85">
        <v>8611</v>
      </c>
      <c r="J85">
        <v>632391.84</v>
      </c>
    </row>
    <row r="86" spans="1:10" x14ac:dyDescent="0.3">
      <c r="A86">
        <v>85</v>
      </c>
      <c r="B86">
        <v>866792809</v>
      </c>
      <c r="C86" t="s">
        <v>34</v>
      </c>
      <c r="D86" t="s">
        <v>14</v>
      </c>
      <c r="E86" s="1">
        <v>42795</v>
      </c>
      <c r="F86">
        <f t="shared" si="1"/>
        <v>1</v>
      </c>
      <c r="G86" t="s">
        <v>46</v>
      </c>
      <c r="H86" t="s">
        <v>28</v>
      </c>
      <c r="I86">
        <v>2109</v>
      </c>
      <c r="J86">
        <v>116290.26</v>
      </c>
    </row>
    <row r="87" spans="1:10" x14ac:dyDescent="0.3">
      <c r="A87">
        <v>86</v>
      </c>
      <c r="B87">
        <v>890695369</v>
      </c>
      <c r="C87" t="s">
        <v>41</v>
      </c>
      <c r="D87" t="s">
        <v>10</v>
      </c>
      <c r="E87" s="1">
        <v>40544</v>
      </c>
      <c r="F87">
        <f t="shared" si="1"/>
        <v>1</v>
      </c>
      <c r="G87" t="s">
        <v>31</v>
      </c>
      <c r="H87" t="s">
        <v>19</v>
      </c>
      <c r="I87">
        <v>5408</v>
      </c>
      <c r="J87">
        <v>84689.279999999999</v>
      </c>
    </row>
    <row r="88" spans="1:10" x14ac:dyDescent="0.3">
      <c r="A88">
        <v>87</v>
      </c>
      <c r="B88">
        <v>964214932</v>
      </c>
      <c r="C88" t="s">
        <v>20</v>
      </c>
      <c r="D88" t="s">
        <v>10</v>
      </c>
      <c r="E88" s="1">
        <v>41699</v>
      </c>
      <c r="F88">
        <f t="shared" si="1"/>
        <v>1</v>
      </c>
      <c r="G88" t="s">
        <v>55</v>
      </c>
      <c r="H88" t="s">
        <v>26</v>
      </c>
      <c r="I88">
        <v>1480</v>
      </c>
      <c r="J88">
        <v>131113.20000000001</v>
      </c>
    </row>
    <row r="89" spans="1:10" x14ac:dyDescent="0.3">
      <c r="A89">
        <v>88</v>
      </c>
      <c r="B89">
        <v>887400329</v>
      </c>
      <c r="C89" t="s">
        <v>34</v>
      </c>
      <c r="D89" t="s">
        <v>14</v>
      </c>
      <c r="E89" s="1">
        <v>41426</v>
      </c>
      <c r="F89">
        <f t="shared" si="1"/>
        <v>2</v>
      </c>
      <c r="G89" t="s">
        <v>46</v>
      </c>
      <c r="H89" t="s">
        <v>28</v>
      </c>
      <c r="I89">
        <v>332</v>
      </c>
      <c r="J89">
        <v>18306.48</v>
      </c>
    </row>
    <row r="90" spans="1:10" x14ac:dyDescent="0.3">
      <c r="A90">
        <v>89</v>
      </c>
      <c r="B90">
        <v>980612885</v>
      </c>
      <c r="C90" t="s">
        <v>41</v>
      </c>
      <c r="D90" t="s">
        <v>10</v>
      </c>
      <c r="E90" s="1">
        <v>40787</v>
      </c>
      <c r="F90">
        <f t="shared" si="1"/>
        <v>3</v>
      </c>
      <c r="G90" t="s">
        <v>51</v>
      </c>
      <c r="H90" t="s">
        <v>26</v>
      </c>
      <c r="I90">
        <v>3999</v>
      </c>
      <c r="J90">
        <v>62624.34</v>
      </c>
    </row>
    <row r="91" spans="1:10" x14ac:dyDescent="0.3">
      <c r="A91">
        <v>90</v>
      </c>
      <c r="B91">
        <v>734526431</v>
      </c>
      <c r="C91" t="s">
        <v>30</v>
      </c>
      <c r="D91" t="s">
        <v>10</v>
      </c>
      <c r="E91" s="1">
        <v>42552</v>
      </c>
      <c r="F91">
        <f t="shared" si="1"/>
        <v>3</v>
      </c>
      <c r="G91" t="s">
        <v>15</v>
      </c>
      <c r="H91" t="s">
        <v>16</v>
      </c>
      <c r="I91">
        <v>1549</v>
      </c>
      <c r="J91">
        <v>113758.56</v>
      </c>
    </row>
    <row r="92" spans="1:10" x14ac:dyDescent="0.3">
      <c r="A92">
        <v>91</v>
      </c>
      <c r="B92">
        <v>160127294</v>
      </c>
      <c r="C92" t="s">
        <v>17</v>
      </c>
      <c r="D92" t="s">
        <v>14</v>
      </c>
      <c r="E92" s="1">
        <v>41671</v>
      </c>
      <c r="F92">
        <f t="shared" si="1"/>
        <v>1</v>
      </c>
      <c r="G92" t="s">
        <v>37</v>
      </c>
      <c r="H92" t="s">
        <v>26</v>
      </c>
      <c r="I92">
        <v>4079</v>
      </c>
      <c r="J92">
        <v>391012.94</v>
      </c>
    </row>
    <row r="93" spans="1:10" x14ac:dyDescent="0.3">
      <c r="A93">
        <v>92</v>
      </c>
      <c r="B93">
        <v>238714301</v>
      </c>
      <c r="C93" t="s">
        <v>30</v>
      </c>
      <c r="D93" t="s">
        <v>10</v>
      </c>
      <c r="E93" s="1">
        <v>40391</v>
      </c>
      <c r="F93">
        <f t="shared" si="1"/>
        <v>3</v>
      </c>
      <c r="G93" t="s">
        <v>31</v>
      </c>
      <c r="H93" t="s">
        <v>19</v>
      </c>
      <c r="I93">
        <v>9721</v>
      </c>
      <c r="J93">
        <v>713910.24</v>
      </c>
    </row>
    <row r="94" spans="1:10" x14ac:dyDescent="0.3">
      <c r="A94">
        <v>93</v>
      </c>
      <c r="B94">
        <v>671898782</v>
      </c>
      <c r="C94" t="s">
        <v>36</v>
      </c>
      <c r="D94" t="s">
        <v>14</v>
      </c>
      <c r="E94" s="1">
        <v>41275</v>
      </c>
      <c r="F94">
        <f t="shared" si="1"/>
        <v>1</v>
      </c>
      <c r="G94" t="s">
        <v>27</v>
      </c>
      <c r="H94" t="s">
        <v>28</v>
      </c>
      <c r="I94">
        <v>8635</v>
      </c>
      <c r="J94">
        <v>1431078.55</v>
      </c>
    </row>
    <row r="95" spans="1:10" x14ac:dyDescent="0.3">
      <c r="A95">
        <v>94</v>
      </c>
      <c r="B95">
        <v>331604564</v>
      </c>
      <c r="C95" t="s">
        <v>43</v>
      </c>
      <c r="D95" t="s">
        <v>10</v>
      </c>
      <c r="E95" s="1">
        <v>40422</v>
      </c>
      <c r="F95">
        <f t="shared" si="1"/>
        <v>3</v>
      </c>
      <c r="G95" t="s">
        <v>49</v>
      </c>
      <c r="H95" t="s">
        <v>19</v>
      </c>
      <c r="I95">
        <v>8014</v>
      </c>
      <c r="J95">
        <v>200830.84</v>
      </c>
    </row>
    <row r="96" spans="1:10" x14ac:dyDescent="0.3">
      <c r="A96">
        <v>95</v>
      </c>
      <c r="B96">
        <v>410067975</v>
      </c>
      <c r="C96" t="s">
        <v>20</v>
      </c>
      <c r="D96" t="s">
        <v>14</v>
      </c>
      <c r="E96" s="1">
        <v>42644</v>
      </c>
      <c r="F96">
        <f t="shared" si="1"/>
        <v>4</v>
      </c>
      <c r="G96" t="s">
        <v>31</v>
      </c>
      <c r="H96" t="s">
        <v>19</v>
      </c>
      <c r="I96">
        <v>7081</v>
      </c>
      <c r="J96">
        <v>627305.79</v>
      </c>
    </row>
    <row r="97" spans="1:10" x14ac:dyDescent="0.3">
      <c r="A97">
        <v>96</v>
      </c>
      <c r="B97">
        <v>369837844</v>
      </c>
      <c r="C97" t="s">
        <v>34</v>
      </c>
      <c r="D97" t="s">
        <v>10</v>
      </c>
      <c r="E97" s="1">
        <v>40603</v>
      </c>
      <c r="F97">
        <f t="shared" si="1"/>
        <v>1</v>
      </c>
      <c r="G97" t="s">
        <v>45</v>
      </c>
      <c r="H97" t="s">
        <v>12</v>
      </c>
      <c r="I97">
        <v>2091</v>
      </c>
      <c r="J97">
        <v>115297.74</v>
      </c>
    </row>
    <row r="98" spans="1:10" x14ac:dyDescent="0.3">
      <c r="A98">
        <v>97</v>
      </c>
      <c r="B98">
        <v>193775498</v>
      </c>
      <c r="C98" t="s">
        <v>24</v>
      </c>
      <c r="D98" t="s">
        <v>14</v>
      </c>
      <c r="E98" s="1">
        <v>41244</v>
      </c>
      <c r="F98">
        <f t="shared" si="1"/>
        <v>4</v>
      </c>
      <c r="G98" t="s">
        <v>57</v>
      </c>
      <c r="H98" t="s">
        <v>16</v>
      </c>
      <c r="I98">
        <v>1331</v>
      </c>
      <c r="J98">
        <v>3207.71</v>
      </c>
    </row>
    <row r="99" spans="1:10" x14ac:dyDescent="0.3">
      <c r="A99">
        <v>98</v>
      </c>
      <c r="B99">
        <v>835054767</v>
      </c>
      <c r="C99" t="s">
        <v>30</v>
      </c>
      <c r="D99" t="s">
        <v>14</v>
      </c>
      <c r="E99" s="1">
        <v>42248</v>
      </c>
      <c r="F99">
        <f t="shared" si="1"/>
        <v>3</v>
      </c>
      <c r="G99" t="s">
        <v>37</v>
      </c>
      <c r="H99" t="s">
        <v>26</v>
      </c>
      <c r="I99">
        <v>117</v>
      </c>
      <c r="J99">
        <v>8592.48</v>
      </c>
    </row>
    <row r="100" spans="1:10" x14ac:dyDescent="0.3">
      <c r="A100">
        <v>99</v>
      </c>
      <c r="B100">
        <v>167161977</v>
      </c>
      <c r="C100" t="s">
        <v>36</v>
      </c>
      <c r="D100" t="s">
        <v>10</v>
      </c>
      <c r="E100" s="1">
        <v>41579</v>
      </c>
      <c r="F100">
        <f t="shared" si="1"/>
        <v>4</v>
      </c>
      <c r="G100" t="s">
        <v>52</v>
      </c>
      <c r="H100" t="s">
        <v>19</v>
      </c>
      <c r="I100">
        <v>5798</v>
      </c>
      <c r="J100">
        <v>960902.54</v>
      </c>
    </row>
    <row r="101" spans="1:10" x14ac:dyDescent="0.3">
      <c r="A101">
        <v>100</v>
      </c>
      <c r="B101">
        <v>633895957</v>
      </c>
      <c r="C101" t="s">
        <v>13</v>
      </c>
      <c r="D101" t="s">
        <v>10</v>
      </c>
      <c r="E101" s="1">
        <v>41852</v>
      </c>
      <c r="F101">
        <f t="shared" si="1"/>
        <v>3</v>
      </c>
      <c r="G101" t="s">
        <v>52</v>
      </c>
      <c r="H101" t="s">
        <v>19</v>
      </c>
      <c r="I101">
        <v>2755</v>
      </c>
      <c r="J101">
        <v>173923.15</v>
      </c>
    </row>
    <row r="102" spans="1:10" x14ac:dyDescent="0.3">
      <c r="A102">
        <v>101</v>
      </c>
      <c r="B102">
        <v>699368035</v>
      </c>
      <c r="C102" t="s">
        <v>30</v>
      </c>
      <c r="D102" t="s">
        <v>10</v>
      </c>
      <c r="E102" s="1">
        <v>40452</v>
      </c>
      <c r="F102">
        <f t="shared" si="1"/>
        <v>4</v>
      </c>
      <c r="G102" t="s">
        <v>37</v>
      </c>
      <c r="H102" t="s">
        <v>26</v>
      </c>
      <c r="I102">
        <v>7398</v>
      </c>
      <c r="J102">
        <v>543309.12</v>
      </c>
    </row>
    <row r="103" spans="1:10" x14ac:dyDescent="0.3">
      <c r="A103">
        <v>102</v>
      </c>
      <c r="B103">
        <v>698002040</v>
      </c>
      <c r="C103" t="s">
        <v>13</v>
      </c>
      <c r="D103" t="s">
        <v>10</v>
      </c>
      <c r="E103" s="1">
        <v>42156</v>
      </c>
      <c r="F103">
        <f t="shared" si="1"/>
        <v>2</v>
      </c>
      <c r="G103" t="s">
        <v>59</v>
      </c>
      <c r="H103" t="s">
        <v>19</v>
      </c>
      <c r="I103">
        <v>3170</v>
      </c>
      <c r="J103">
        <v>200122.1</v>
      </c>
    </row>
    <row r="104" spans="1:10" x14ac:dyDescent="0.3">
      <c r="A104">
        <v>103</v>
      </c>
      <c r="B104">
        <v>584534299</v>
      </c>
      <c r="C104" t="s">
        <v>34</v>
      </c>
      <c r="D104" t="s">
        <v>10</v>
      </c>
      <c r="E104" s="1">
        <v>40969</v>
      </c>
      <c r="F104">
        <f t="shared" si="1"/>
        <v>1</v>
      </c>
      <c r="G104" t="s">
        <v>55</v>
      </c>
      <c r="H104" t="s">
        <v>26</v>
      </c>
      <c r="I104">
        <v>5544</v>
      </c>
      <c r="J104">
        <v>305696.15999999997</v>
      </c>
    </row>
    <row r="105" spans="1:10" x14ac:dyDescent="0.3">
      <c r="A105">
        <v>104</v>
      </c>
      <c r="B105">
        <v>384013640</v>
      </c>
      <c r="C105" t="s">
        <v>13</v>
      </c>
      <c r="D105" t="s">
        <v>14</v>
      </c>
      <c r="E105" s="1">
        <v>41061</v>
      </c>
      <c r="F105">
        <f t="shared" si="1"/>
        <v>2</v>
      </c>
      <c r="G105" t="s">
        <v>48</v>
      </c>
      <c r="H105" t="s">
        <v>16</v>
      </c>
      <c r="I105">
        <v>7025</v>
      </c>
      <c r="J105">
        <v>443488.25</v>
      </c>
    </row>
    <row r="106" spans="1:10" x14ac:dyDescent="0.3">
      <c r="A106">
        <v>105</v>
      </c>
      <c r="B106">
        <v>641801393</v>
      </c>
      <c r="C106" t="s">
        <v>43</v>
      </c>
      <c r="D106" t="s">
        <v>14</v>
      </c>
      <c r="E106" s="1">
        <v>41395</v>
      </c>
      <c r="F106">
        <f t="shared" si="1"/>
        <v>2</v>
      </c>
      <c r="G106" t="s">
        <v>37</v>
      </c>
      <c r="H106" t="s">
        <v>26</v>
      </c>
      <c r="I106">
        <v>2149</v>
      </c>
      <c r="J106">
        <v>53853.94</v>
      </c>
    </row>
    <row r="107" spans="1:10" x14ac:dyDescent="0.3">
      <c r="A107">
        <v>106</v>
      </c>
      <c r="B107">
        <v>173571383</v>
      </c>
      <c r="C107" t="s">
        <v>43</v>
      </c>
      <c r="D107" t="s">
        <v>14</v>
      </c>
      <c r="E107" s="1">
        <v>42705</v>
      </c>
      <c r="F107">
        <f t="shared" si="1"/>
        <v>4</v>
      </c>
      <c r="G107" t="s">
        <v>33</v>
      </c>
      <c r="H107" t="s">
        <v>12</v>
      </c>
      <c r="I107">
        <v>2484</v>
      </c>
      <c r="J107">
        <v>62249.04</v>
      </c>
    </row>
    <row r="108" spans="1:10" x14ac:dyDescent="0.3">
      <c r="A108">
        <v>107</v>
      </c>
      <c r="B108">
        <v>115309941</v>
      </c>
      <c r="C108" t="s">
        <v>34</v>
      </c>
      <c r="D108" t="s">
        <v>10</v>
      </c>
      <c r="E108" s="1">
        <v>40603</v>
      </c>
      <c r="F108">
        <f t="shared" si="1"/>
        <v>1</v>
      </c>
      <c r="G108" t="s">
        <v>44</v>
      </c>
      <c r="H108" t="s">
        <v>26</v>
      </c>
      <c r="I108">
        <v>1629</v>
      </c>
      <c r="J108">
        <v>89823.06</v>
      </c>
    </row>
    <row r="109" spans="1:10" x14ac:dyDescent="0.3">
      <c r="A109">
        <v>108</v>
      </c>
      <c r="B109">
        <v>773315894</v>
      </c>
      <c r="C109" t="s">
        <v>9</v>
      </c>
      <c r="D109" t="s">
        <v>10</v>
      </c>
      <c r="E109" s="1">
        <v>40787</v>
      </c>
      <c r="F109">
        <f t="shared" si="1"/>
        <v>3</v>
      </c>
      <c r="G109" t="s">
        <v>21</v>
      </c>
      <c r="H109" t="s">
        <v>19</v>
      </c>
      <c r="I109">
        <v>213</v>
      </c>
      <c r="J109">
        <v>37034.31</v>
      </c>
    </row>
    <row r="110" spans="1:10" x14ac:dyDescent="0.3">
      <c r="A110">
        <v>109</v>
      </c>
      <c r="B110">
        <v>274200570</v>
      </c>
      <c r="C110" t="s">
        <v>41</v>
      </c>
      <c r="D110" t="s">
        <v>14</v>
      </c>
      <c r="E110" s="1">
        <v>41030</v>
      </c>
      <c r="F110">
        <f t="shared" si="1"/>
        <v>2</v>
      </c>
      <c r="G110" t="s">
        <v>11</v>
      </c>
      <c r="H110" t="s">
        <v>12</v>
      </c>
      <c r="I110">
        <v>897</v>
      </c>
      <c r="J110">
        <v>14047.02</v>
      </c>
    </row>
    <row r="111" spans="1:10" x14ac:dyDescent="0.3">
      <c r="A111">
        <v>110</v>
      </c>
      <c r="B111">
        <v>414887797</v>
      </c>
      <c r="C111" t="s">
        <v>30</v>
      </c>
      <c r="D111" t="s">
        <v>10</v>
      </c>
      <c r="E111" s="1">
        <v>40848</v>
      </c>
      <c r="F111">
        <f t="shared" si="1"/>
        <v>4</v>
      </c>
      <c r="G111" t="s">
        <v>45</v>
      </c>
      <c r="H111" t="s">
        <v>12</v>
      </c>
      <c r="I111">
        <v>3374</v>
      </c>
      <c r="J111">
        <v>247786.56</v>
      </c>
    </row>
    <row r="112" spans="1:10" x14ac:dyDescent="0.3">
      <c r="A112">
        <v>111</v>
      </c>
      <c r="B112">
        <v>812613904</v>
      </c>
      <c r="C112" t="s">
        <v>41</v>
      </c>
      <c r="D112" t="s">
        <v>10</v>
      </c>
      <c r="E112" s="1">
        <v>40179</v>
      </c>
      <c r="F112">
        <f t="shared" si="1"/>
        <v>1</v>
      </c>
      <c r="G112" t="s">
        <v>59</v>
      </c>
      <c r="H112" t="s">
        <v>19</v>
      </c>
      <c r="I112">
        <v>9367</v>
      </c>
      <c r="J112">
        <v>146687.22</v>
      </c>
    </row>
    <row r="113" spans="1:10" x14ac:dyDescent="0.3">
      <c r="A113">
        <v>112</v>
      </c>
      <c r="B113">
        <v>254927718</v>
      </c>
      <c r="C113" t="s">
        <v>17</v>
      </c>
      <c r="D113" t="s">
        <v>14</v>
      </c>
      <c r="E113" s="1">
        <v>40756</v>
      </c>
      <c r="F113">
        <f t="shared" si="1"/>
        <v>3</v>
      </c>
      <c r="G113" t="s">
        <v>49</v>
      </c>
      <c r="H113" t="s">
        <v>19</v>
      </c>
      <c r="I113">
        <v>7632</v>
      </c>
      <c r="J113">
        <v>731603.52</v>
      </c>
    </row>
    <row r="114" spans="1:10" x14ac:dyDescent="0.3">
      <c r="A114">
        <v>113</v>
      </c>
      <c r="B114">
        <v>749690568</v>
      </c>
      <c r="C114" t="s">
        <v>41</v>
      </c>
      <c r="D114" t="s">
        <v>10</v>
      </c>
      <c r="E114" s="1">
        <v>41883</v>
      </c>
      <c r="F114">
        <f t="shared" si="1"/>
        <v>3</v>
      </c>
      <c r="G114" t="s">
        <v>32</v>
      </c>
      <c r="H114" t="s">
        <v>26</v>
      </c>
      <c r="I114">
        <v>8954</v>
      </c>
      <c r="J114">
        <v>140219.64000000001</v>
      </c>
    </row>
    <row r="115" spans="1:10" x14ac:dyDescent="0.3">
      <c r="A115">
        <v>114</v>
      </c>
      <c r="B115">
        <v>775076282</v>
      </c>
      <c r="C115" t="s">
        <v>20</v>
      </c>
      <c r="D115" t="s">
        <v>10</v>
      </c>
      <c r="E115" s="1">
        <v>41883</v>
      </c>
      <c r="F115">
        <f t="shared" si="1"/>
        <v>3</v>
      </c>
      <c r="G115" t="s">
        <v>11</v>
      </c>
      <c r="H115" t="s">
        <v>12</v>
      </c>
      <c r="I115">
        <v>1150</v>
      </c>
      <c r="J115">
        <v>101878.5</v>
      </c>
    </row>
    <row r="116" spans="1:10" x14ac:dyDescent="0.3">
      <c r="A116">
        <v>115</v>
      </c>
      <c r="B116">
        <v>229571187</v>
      </c>
      <c r="C116" t="s">
        <v>40</v>
      </c>
      <c r="D116" t="s">
        <v>14</v>
      </c>
      <c r="E116" s="1">
        <v>42248</v>
      </c>
      <c r="F116">
        <f t="shared" si="1"/>
        <v>3</v>
      </c>
      <c r="G116" t="s">
        <v>15</v>
      </c>
      <c r="H116" t="s">
        <v>16</v>
      </c>
      <c r="I116">
        <v>4071</v>
      </c>
      <c r="J116">
        <v>513963.75</v>
      </c>
    </row>
    <row r="117" spans="1:10" x14ac:dyDescent="0.3">
      <c r="A117">
        <v>116</v>
      </c>
      <c r="B117">
        <v>881974112</v>
      </c>
      <c r="C117" t="s">
        <v>17</v>
      </c>
      <c r="D117" t="s">
        <v>14</v>
      </c>
      <c r="E117" s="1">
        <v>40695</v>
      </c>
      <c r="F117">
        <f t="shared" si="1"/>
        <v>2</v>
      </c>
      <c r="G117" t="s">
        <v>15</v>
      </c>
      <c r="H117" t="s">
        <v>16</v>
      </c>
      <c r="I117">
        <v>4594</v>
      </c>
      <c r="J117">
        <v>440380.84</v>
      </c>
    </row>
    <row r="118" spans="1:10" x14ac:dyDescent="0.3">
      <c r="A118">
        <v>117</v>
      </c>
      <c r="B118">
        <v>521396386</v>
      </c>
      <c r="C118" t="s">
        <v>34</v>
      </c>
      <c r="D118" t="s">
        <v>14</v>
      </c>
      <c r="E118" s="1">
        <v>40909</v>
      </c>
      <c r="F118">
        <f t="shared" si="1"/>
        <v>1</v>
      </c>
      <c r="G118" t="s">
        <v>31</v>
      </c>
      <c r="H118" t="s">
        <v>19</v>
      </c>
      <c r="I118">
        <v>1632</v>
      </c>
      <c r="J118">
        <v>89988.479999999996</v>
      </c>
    </row>
    <row r="119" spans="1:10" x14ac:dyDescent="0.3">
      <c r="A119">
        <v>118</v>
      </c>
      <c r="B119">
        <v>607261836</v>
      </c>
      <c r="C119" t="s">
        <v>36</v>
      </c>
      <c r="D119" t="s">
        <v>14</v>
      </c>
      <c r="E119" s="1">
        <v>42736</v>
      </c>
      <c r="F119">
        <f t="shared" si="1"/>
        <v>1</v>
      </c>
      <c r="G119" t="s">
        <v>53</v>
      </c>
      <c r="H119" t="s">
        <v>16</v>
      </c>
      <c r="I119">
        <v>1127</v>
      </c>
      <c r="J119">
        <v>186777.71</v>
      </c>
    </row>
    <row r="120" spans="1:10" x14ac:dyDescent="0.3">
      <c r="A120">
        <v>119</v>
      </c>
      <c r="B120">
        <v>419306790</v>
      </c>
      <c r="C120" t="s">
        <v>13</v>
      </c>
      <c r="D120" t="s">
        <v>14</v>
      </c>
      <c r="E120" s="1">
        <v>40969</v>
      </c>
      <c r="F120">
        <f t="shared" si="1"/>
        <v>1</v>
      </c>
      <c r="G120" t="s">
        <v>37</v>
      </c>
      <c r="H120" t="s">
        <v>26</v>
      </c>
      <c r="I120">
        <v>1052</v>
      </c>
      <c r="J120">
        <v>66412.759999999995</v>
      </c>
    </row>
    <row r="121" spans="1:10" x14ac:dyDescent="0.3">
      <c r="A121">
        <v>120</v>
      </c>
      <c r="B121">
        <v>207580077</v>
      </c>
      <c r="C121" t="s">
        <v>47</v>
      </c>
      <c r="D121" t="s">
        <v>10</v>
      </c>
      <c r="E121" s="1">
        <v>40360</v>
      </c>
      <c r="F121">
        <f t="shared" si="1"/>
        <v>3</v>
      </c>
      <c r="G121" t="s">
        <v>21</v>
      </c>
      <c r="H121" t="s">
        <v>19</v>
      </c>
      <c r="I121">
        <v>6413</v>
      </c>
      <c r="J121">
        <v>366823.6</v>
      </c>
    </row>
    <row r="122" spans="1:10" x14ac:dyDescent="0.3">
      <c r="A122">
        <v>121</v>
      </c>
      <c r="B122">
        <v>742443025</v>
      </c>
      <c r="C122" t="s">
        <v>34</v>
      </c>
      <c r="D122" t="s">
        <v>14</v>
      </c>
      <c r="E122" s="1">
        <v>40634</v>
      </c>
      <c r="F122">
        <f t="shared" si="1"/>
        <v>2</v>
      </c>
      <c r="G122" t="s">
        <v>25</v>
      </c>
      <c r="H122" t="s">
        <v>26</v>
      </c>
      <c r="I122">
        <v>4245</v>
      </c>
      <c r="J122">
        <v>234069.3</v>
      </c>
    </row>
    <row r="123" spans="1:10" x14ac:dyDescent="0.3">
      <c r="A123">
        <v>122</v>
      </c>
      <c r="B123">
        <v>164569461</v>
      </c>
      <c r="C123" t="s">
        <v>34</v>
      </c>
      <c r="D123" t="s">
        <v>10</v>
      </c>
      <c r="E123" s="1">
        <v>40452</v>
      </c>
      <c r="F123">
        <f t="shared" si="1"/>
        <v>4</v>
      </c>
      <c r="G123" t="s">
        <v>27</v>
      </c>
      <c r="H123" t="s">
        <v>28</v>
      </c>
      <c r="I123">
        <v>8615</v>
      </c>
      <c r="J123">
        <v>475031.1</v>
      </c>
    </row>
    <row r="124" spans="1:10" x14ac:dyDescent="0.3">
      <c r="A124">
        <v>123</v>
      </c>
      <c r="B124">
        <v>734945714</v>
      </c>
      <c r="C124" t="s">
        <v>17</v>
      </c>
      <c r="D124" t="s">
        <v>14</v>
      </c>
      <c r="E124" s="1">
        <v>41609</v>
      </c>
      <c r="F124">
        <f t="shared" si="1"/>
        <v>4</v>
      </c>
      <c r="G124" t="s">
        <v>35</v>
      </c>
      <c r="H124" t="s">
        <v>19</v>
      </c>
      <c r="I124">
        <v>5624</v>
      </c>
      <c r="J124">
        <v>539116.64</v>
      </c>
    </row>
    <row r="125" spans="1:10" x14ac:dyDescent="0.3">
      <c r="A125">
        <v>124</v>
      </c>
      <c r="B125">
        <v>284870612</v>
      </c>
      <c r="C125" t="s">
        <v>30</v>
      </c>
      <c r="D125" t="s">
        <v>10</v>
      </c>
      <c r="E125" s="1">
        <v>42248</v>
      </c>
      <c r="F125">
        <f t="shared" si="1"/>
        <v>3</v>
      </c>
      <c r="G125" t="s">
        <v>57</v>
      </c>
      <c r="H125" t="s">
        <v>16</v>
      </c>
      <c r="I125">
        <v>8399</v>
      </c>
      <c r="J125">
        <v>616822.56000000006</v>
      </c>
    </row>
    <row r="126" spans="1:10" x14ac:dyDescent="0.3">
      <c r="A126">
        <v>125</v>
      </c>
      <c r="B126">
        <v>765955483</v>
      </c>
      <c r="C126" t="s">
        <v>24</v>
      </c>
      <c r="D126" t="s">
        <v>10</v>
      </c>
      <c r="E126" s="1">
        <v>40787</v>
      </c>
      <c r="F126">
        <f t="shared" si="1"/>
        <v>3</v>
      </c>
      <c r="G126" t="s">
        <v>31</v>
      </c>
      <c r="H126" t="s">
        <v>19</v>
      </c>
      <c r="I126">
        <v>2104</v>
      </c>
      <c r="J126">
        <v>5070.6400000000003</v>
      </c>
    </row>
    <row r="127" spans="1:10" x14ac:dyDescent="0.3">
      <c r="A127">
        <v>126</v>
      </c>
      <c r="B127">
        <v>600124156</v>
      </c>
      <c r="C127" t="s">
        <v>34</v>
      </c>
      <c r="D127" t="s">
        <v>10</v>
      </c>
      <c r="E127" s="1">
        <v>40238</v>
      </c>
      <c r="F127">
        <f t="shared" si="1"/>
        <v>1</v>
      </c>
      <c r="G127" t="s">
        <v>50</v>
      </c>
      <c r="H127" t="s">
        <v>16</v>
      </c>
      <c r="I127">
        <v>8929</v>
      </c>
      <c r="J127">
        <v>492345.06</v>
      </c>
    </row>
    <row r="128" spans="1:10" x14ac:dyDescent="0.3">
      <c r="A128">
        <v>127</v>
      </c>
      <c r="B128">
        <v>529612958</v>
      </c>
      <c r="C128" t="s">
        <v>36</v>
      </c>
      <c r="D128" t="s">
        <v>10</v>
      </c>
      <c r="E128" s="1">
        <v>41214</v>
      </c>
      <c r="F128">
        <f t="shared" si="1"/>
        <v>4</v>
      </c>
      <c r="G128" t="s">
        <v>44</v>
      </c>
      <c r="H128" t="s">
        <v>26</v>
      </c>
      <c r="I128">
        <v>3098</v>
      </c>
      <c r="J128">
        <v>513431.54</v>
      </c>
    </row>
    <row r="129" spans="1:10" x14ac:dyDescent="0.3">
      <c r="A129">
        <v>128</v>
      </c>
      <c r="B129">
        <v>466970717</v>
      </c>
      <c r="C129" t="s">
        <v>30</v>
      </c>
      <c r="D129" t="s">
        <v>10</v>
      </c>
      <c r="E129" s="1">
        <v>40575</v>
      </c>
      <c r="F129">
        <f t="shared" si="1"/>
        <v>1</v>
      </c>
      <c r="G129" t="s">
        <v>59</v>
      </c>
      <c r="H129" t="s">
        <v>19</v>
      </c>
      <c r="I129">
        <v>5867</v>
      </c>
      <c r="J129">
        <v>430872.48</v>
      </c>
    </row>
    <row r="130" spans="1:10" x14ac:dyDescent="0.3">
      <c r="A130">
        <v>129</v>
      </c>
      <c r="B130">
        <v>845058763</v>
      </c>
      <c r="C130" t="s">
        <v>9</v>
      </c>
      <c r="D130" t="s">
        <v>14</v>
      </c>
      <c r="E130" s="1">
        <v>41122</v>
      </c>
      <c r="F130">
        <f t="shared" ref="F130:F193" si="2">ROUNDUP(MONTH(E130)/3,0)</f>
        <v>3</v>
      </c>
      <c r="G130" t="s">
        <v>33</v>
      </c>
      <c r="H130" t="s">
        <v>12</v>
      </c>
      <c r="I130">
        <v>522</v>
      </c>
      <c r="J130">
        <v>90760.14</v>
      </c>
    </row>
    <row r="131" spans="1:10" x14ac:dyDescent="0.3">
      <c r="A131">
        <v>130</v>
      </c>
      <c r="B131">
        <v>367050921</v>
      </c>
      <c r="C131" t="s">
        <v>34</v>
      </c>
      <c r="D131" t="s">
        <v>10</v>
      </c>
      <c r="E131" s="1">
        <v>41852</v>
      </c>
      <c r="F131">
        <f t="shared" si="2"/>
        <v>3</v>
      </c>
      <c r="G131" t="s">
        <v>38</v>
      </c>
      <c r="H131" t="s">
        <v>16</v>
      </c>
      <c r="I131">
        <v>7379</v>
      </c>
      <c r="J131">
        <v>406878.06</v>
      </c>
    </row>
    <row r="132" spans="1:10" x14ac:dyDescent="0.3">
      <c r="A132">
        <v>131</v>
      </c>
      <c r="B132">
        <v>956433522</v>
      </c>
      <c r="C132" t="s">
        <v>40</v>
      </c>
      <c r="D132" t="s">
        <v>14</v>
      </c>
      <c r="E132" s="1">
        <v>42217</v>
      </c>
      <c r="F132">
        <f t="shared" si="2"/>
        <v>3</v>
      </c>
      <c r="G132" t="s">
        <v>49</v>
      </c>
      <c r="H132" t="s">
        <v>19</v>
      </c>
      <c r="I132">
        <v>8788</v>
      </c>
      <c r="J132">
        <v>1109485</v>
      </c>
    </row>
    <row r="133" spans="1:10" x14ac:dyDescent="0.3">
      <c r="A133">
        <v>132</v>
      </c>
      <c r="B133">
        <v>107005393</v>
      </c>
      <c r="C133" t="s">
        <v>41</v>
      </c>
      <c r="D133" t="s">
        <v>14</v>
      </c>
      <c r="E133" s="1">
        <v>40603</v>
      </c>
      <c r="F133">
        <f t="shared" si="2"/>
        <v>1</v>
      </c>
      <c r="G133" t="s">
        <v>57</v>
      </c>
      <c r="H133" t="s">
        <v>16</v>
      </c>
      <c r="I133">
        <v>4129</v>
      </c>
      <c r="J133">
        <v>64660.14</v>
      </c>
    </row>
    <row r="134" spans="1:10" x14ac:dyDescent="0.3">
      <c r="A134">
        <v>133</v>
      </c>
      <c r="B134">
        <v>332877862</v>
      </c>
      <c r="C134" t="s">
        <v>41</v>
      </c>
      <c r="D134" t="s">
        <v>10</v>
      </c>
      <c r="E134" s="1">
        <v>41365</v>
      </c>
      <c r="F134">
        <f t="shared" si="2"/>
        <v>2</v>
      </c>
      <c r="G134" t="s">
        <v>44</v>
      </c>
      <c r="H134" t="s">
        <v>26</v>
      </c>
      <c r="I134">
        <v>4811</v>
      </c>
      <c r="J134">
        <v>75340.259999999995</v>
      </c>
    </row>
    <row r="135" spans="1:10" x14ac:dyDescent="0.3">
      <c r="A135">
        <v>134</v>
      </c>
      <c r="B135">
        <v>618474757</v>
      </c>
      <c r="C135" t="s">
        <v>17</v>
      </c>
      <c r="D135" t="s">
        <v>14</v>
      </c>
      <c r="E135" s="1">
        <v>42309</v>
      </c>
      <c r="F135">
        <f t="shared" si="2"/>
        <v>4</v>
      </c>
      <c r="G135" t="s">
        <v>21</v>
      </c>
      <c r="H135" t="s">
        <v>19</v>
      </c>
      <c r="I135">
        <v>9279</v>
      </c>
      <c r="J135">
        <v>889484.94</v>
      </c>
    </row>
    <row r="136" spans="1:10" x14ac:dyDescent="0.3">
      <c r="A136">
        <v>135</v>
      </c>
      <c r="B136">
        <v>468532407</v>
      </c>
      <c r="C136" t="s">
        <v>36</v>
      </c>
      <c r="D136" t="s">
        <v>14</v>
      </c>
      <c r="E136" s="1">
        <v>41640</v>
      </c>
      <c r="F136">
        <f t="shared" si="2"/>
        <v>1</v>
      </c>
      <c r="G136" t="s">
        <v>21</v>
      </c>
      <c r="H136" t="s">
        <v>19</v>
      </c>
      <c r="I136">
        <v>8006</v>
      </c>
      <c r="J136">
        <v>1326834.3799999999</v>
      </c>
    </row>
    <row r="137" spans="1:10" x14ac:dyDescent="0.3">
      <c r="A137">
        <v>136</v>
      </c>
      <c r="B137">
        <v>358099639</v>
      </c>
      <c r="C137" t="s">
        <v>40</v>
      </c>
      <c r="D137" t="s">
        <v>10</v>
      </c>
      <c r="E137" s="1">
        <v>42095</v>
      </c>
      <c r="F137">
        <f t="shared" si="2"/>
        <v>2</v>
      </c>
      <c r="G137" t="s">
        <v>58</v>
      </c>
      <c r="H137" t="s">
        <v>26</v>
      </c>
      <c r="I137">
        <v>8496</v>
      </c>
      <c r="J137">
        <v>1072620</v>
      </c>
    </row>
    <row r="138" spans="1:10" x14ac:dyDescent="0.3">
      <c r="A138">
        <v>137</v>
      </c>
      <c r="B138">
        <v>382537782</v>
      </c>
      <c r="C138" t="s">
        <v>36</v>
      </c>
      <c r="D138" t="s">
        <v>14</v>
      </c>
      <c r="E138" s="1">
        <v>41275</v>
      </c>
      <c r="F138">
        <f t="shared" si="2"/>
        <v>1</v>
      </c>
      <c r="G138" t="s">
        <v>58</v>
      </c>
      <c r="H138" t="s">
        <v>26</v>
      </c>
      <c r="I138">
        <v>285</v>
      </c>
      <c r="J138">
        <v>47233.05</v>
      </c>
    </row>
    <row r="139" spans="1:10" x14ac:dyDescent="0.3">
      <c r="A139">
        <v>138</v>
      </c>
      <c r="B139">
        <v>707520663</v>
      </c>
      <c r="C139" t="s">
        <v>43</v>
      </c>
      <c r="D139" t="s">
        <v>10</v>
      </c>
      <c r="E139" s="1">
        <v>41306</v>
      </c>
      <c r="F139">
        <f t="shared" si="2"/>
        <v>1</v>
      </c>
      <c r="G139" t="s">
        <v>49</v>
      </c>
      <c r="H139" t="s">
        <v>19</v>
      </c>
      <c r="I139">
        <v>9942</v>
      </c>
      <c r="J139">
        <v>249146.52</v>
      </c>
    </row>
    <row r="140" spans="1:10" x14ac:dyDescent="0.3">
      <c r="A140">
        <v>139</v>
      </c>
      <c r="B140">
        <v>219034612</v>
      </c>
      <c r="C140" t="s">
        <v>47</v>
      </c>
      <c r="D140" t="s">
        <v>14</v>
      </c>
      <c r="E140" s="1">
        <v>41944</v>
      </c>
      <c r="F140">
        <f t="shared" si="2"/>
        <v>4</v>
      </c>
      <c r="G140" t="s">
        <v>38</v>
      </c>
      <c r="H140" t="s">
        <v>16</v>
      </c>
      <c r="I140">
        <v>6064</v>
      </c>
      <c r="J140">
        <v>346860.79999999999</v>
      </c>
    </row>
    <row r="141" spans="1:10" x14ac:dyDescent="0.3">
      <c r="A141">
        <v>140</v>
      </c>
      <c r="B141">
        <v>573378455</v>
      </c>
      <c r="C141" t="s">
        <v>47</v>
      </c>
      <c r="D141" t="s">
        <v>10</v>
      </c>
      <c r="E141" s="1">
        <v>42005</v>
      </c>
      <c r="F141">
        <f t="shared" si="2"/>
        <v>1</v>
      </c>
      <c r="G141" t="s">
        <v>50</v>
      </c>
      <c r="H141" t="s">
        <v>16</v>
      </c>
      <c r="I141">
        <v>4281</v>
      </c>
      <c r="J141">
        <v>244873.2</v>
      </c>
    </row>
    <row r="142" spans="1:10" x14ac:dyDescent="0.3">
      <c r="A142">
        <v>141</v>
      </c>
      <c r="B142">
        <v>347163522</v>
      </c>
      <c r="C142" t="s">
        <v>43</v>
      </c>
      <c r="D142" t="s">
        <v>14</v>
      </c>
      <c r="E142" s="1">
        <v>40575</v>
      </c>
      <c r="F142">
        <f t="shared" si="2"/>
        <v>1</v>
      </c>
      <c r="G142" t="s">
        <v>52</v>
      </c>
      <c r="H142" t="s">
        <v>19</v>
      </c>
      <c r="I142">
        <v>2256</v>
      </c>
      <c r="J142">
        <v>56535.360000000001</v>
      </c>
    </row>
    <row r="143" spans="1:10" x14ac:dyDescent="0.3">
      <c r="A143">
        <v>142</v>
      </c>
      <c r="B143">
        <v>887313640</v>
      </c>
      <c r="C143" t="s">
        <v>34</v>
      </c>
      <c r="D143" t="s">
        <v>10</v>
      </c>
      <c r="E143" s="1">
        <v>41365</v>
      </c>
      <c r="F143">
        <f t="shared" si="2"/>
        <v>2</v>
      </c>
      <c r="G143" t="s">
        <v>37</v>
      </c>
      <c r="H143" t="s">
        <v>26</v>
      </c>
      <c r="I143">
        <v>4679</v>
      </c>
      <c r="J143">
        <v>258000.06</v>
      </c>
    </row>
    <row r="144" spans="1:10" x14ac:dyDescent="0.3">
      <c r="A144">
        <v>143</v>
      </c>
      <c r="B144">
        <v>461065137</v>
      </c>
      <c r="C144" t="s">
        <v>9</v>
      </c>
      <c r="D144" t="s">
        <v>14</v>
      </c>
      <c r="E144" s="1">
        <v>42917</v>
      </c>
      <c r="F144">
        <f t="shared" si="2"/>
        <v>3</v>
      </c>
      <c r="G144" t="s">
        <v>52</v>
      </c>
      <c r="H144" t="s">
        <v>19</v>
      </c>
      <c r="I144">
        <v>8275</v>
      </c>
      <c r="J144">
        <v>1438774.25</v>
      </c>
    </row>
    <row r="145" spans="1:10" x14ac:dyDescent="0.3">
      <c r="A145">
        <v>144</v>
      </c>
      <c r="B145">
        <v>105966842</v>
      </c>
      <c r="C145" t="s">
        <v>24</v>
      </c>
      <c r="D145" t="s">
        <v>10</v>
      </c>
      <c r="E145" s="1">
        <v>42826</v>
      </c>
      <c r="F145">
        <f t="shared" si="2"/>
        <v>2</v>
      </c>
      <c r="G145" t="s">
        <v>44</v>
      </c>
      <c r="H145" t="s">
        <v>26</v>
      </c>
      <c r="I145">
        <v>6798</v>
      </c>
      <c r="J145">
        <v>16383.18</v>
      </c>
    </row>
    <row r="146" spans="1:10" x14ac:dyDescent="0.3">
      <c r="A146">
        <v>145</v>
      </c>
      <c r="B146">
        <v>479880082</v>
      </c>
      <c r="C146" t="s">
        <v>17</v>
      </c>
      <c r="D146" t="s">
        <v>14</v>
      </c>
      <c r="E146" s="1">
        <v>41760</v>
      </c>
      <c r="F146">
        <f t="shared" si="2"/>
        <v>2</v>
      </c>
      <c r="G146" t="s">
        <v>57</v>
      </c>
      <c r="H146" t="s">
        <v>16</v>
      </c>
      <c r="I146">
        <v>6035</v>
      </c>
      <c r="J146">
        <v>578515.1</v>
      </c>
    </row>
    <row r="147" spans="1:10" x14ac:dyDescent="0.3">
      <c r="A147">
        <v>146</v>
      </c>
      <c r="B147">
        <v>510978686</v>
      </c>
      <c r="C147" t="s">
        <v>17</v>
      </c>
      <c r="D147" t="s">
        <v>14</v>
      </c>
      <c r="E147" s="1">
        <v>42217</v>
      </c>
      <c r="F147">
        <f t="shared" si="2"/>
        <v>3</v>
      </c>
      <c r="G147" t="s">
        <v>59</v>
      </c>
      <c r="H147" t="s">
        <v>19</v>
      </c>
      <c r="I147">
        <v>8803</v>
      </c>
      <c r="J147">
        <v>843855.58</v>
      </c>
    </row>
    <row r="148" spans="1:10" x14ac:dyDescent="0.3">
      <c r="A148">
        <v>147</v>
      </c>
      <c r="B148">
        <v>547748982</v>
      </c>
      <c r="C148" t="s">
        <v>34</v>
      </c>
      <c r="D148" t="s">
        <v>10</v>
      </c>
      <c r="E148" s="1">
        <v>41518</v>
      </c>
      <c r="F148">
        <f t="shared" si="2"/>
        <v>3</v>
      </c>
      <c r="G148" t="s">
        <v>11</v>
      </c>
      <c r="H148" t="s">
        <v>12</v>
      </c>
      <c r="I148">
        <v>9951</v>
      </c>
      <c r="J148">
        <v>548698.14</v>
      </c>
    </row>
    <row r="149" spans="1:10" x14ac:dyDescent="0.3">
      <c r="A149">
        <v>148</v>
      </c>
      <c r="B149">
        <v>108989799</v>
      </c>
      <c r="C149" t="s">
        <v>20</v>
      </c>
      <c r="D149" t="s">
        <v>10</v>
      </c>
      <c r="E149" s="1">
        <v>41548</v>
      </c>
      <c r="F149">
        <f t="shared" si="2"/>
        <v>4</v>
      </c>
      <c r="G149" t="s">
        <v>39</v>
      </c>
      <c r="H149" t="s">
        <v>28</v>
      </c>
      <c r="I149">
        <v>1358</v>
      </c>
      <c r="J149">
        <v>120305.22</v>
      </c>
    </row>
    <row r="150" spans="1:10" x14ac:dyDescent="0.3">
      <c r="A150">
        <v>149</v>
      </c>
      <c r="B150">
        <v>133812463</v>
      </c>
      <c r="C150" t="s">
        <v>20</v>
      </c>
      <c r="D150" t="s">
        <v>10</v>
      </c>
      <c r="E150" s="1">
        <v>41821</v>
      </c>
      <c r="F150">
        <f t="shared" si="2"/>
        <v>3</v>
      </c>
      <c r="G150" t="s">
        <v>11</v>
      </c>
      <c r="H150" t="s">
        <v>12</v>
      </c>
      <c r="I150">
        <v>6936</v>
      </c>
      <c r="J150">
        <v>614460.24</v>
      </c>
    </row>
    <row r="151" spans="1:10" x14ac:dyDescent="0.3">
      <c r="A151">
        <v>150</v>
      </c>
      <c r="B151">
        <v>731640803</v>
      </c>
      <c r="C151" t="s">
        <v>24</v>
      </c>
      <c r="D151" t="s">
        <v>10</v>
      </c>
      <c r="E151" s="1">
        <v>40848</v>
      </c>
      <c r="F151">
        <f t="shared" si="2"/>
        <v>4</v>
      </c>
      <c r="G151" t="s">
        <v>51</v>
      </c>
      <c r="H151" t="s">
        <v>26</v>
      </c>
      <c r="I151">
        <v>7627</v>
      </c>
      <c r="J151">
        <v>18381.07</v>
      </c>
    </row>
    <row r="152" spans="1:10" x14ac:dyDescent="0.3">
      <c r="A152">
        <v>151</v>
      </c>
      <c r="B152">
        <v>732211148</v>
      </c>
      <c r="C152" t="s">
        <v>34</v>
      </c>
      <c r="D152" t="s">
        <v>10</v>
      </c>
      <c r="E152" s="1">
        <v>40238</v>
      </c>
      <c r="F152">
        <f t="shared" si="2"/>
        <v>1</v>
      </c>
      <c r="G152" t="s">
        <v>39</v>
      </c>
      <c r="H152" t="s">
        <v>28</v>
      </c>
      <c r="I152">
        <v>6405</v>
      </c>
      <c r="J152">
        <v>353171.7</v>
      </c>
    </row>
    <row r="153" spans="1:10" x14ac:dyDescent="0.3">
      <c r="A153">
        <v>152</v>
      </c>
      <c r="B153">
        <v>835572326</v>
      </c>
      <c r="C153" t="s">
        <v>20</v>
      </c>
      <c r="D153" t="s">
        <v>14</v>
      </c>
      <c r="E153" s="1">
        <v>40725</v>
      </c>
      <c r="F153">
        <f t="shared" si="2"/>
        <v>3</v>
      </c>
      <c r="G153" t="s">
        <v>42</v>
      </c>
      <c r="H153" t="s">
        <v>26</v>
      </c>
      <c r="I153">
        <v>3274</v>
      </c>
      <c r="J153">
        <v>290043.65999999997</v>
      </c>
    </row>
    <row r="154" spans="1:10" x14ac:dyDescent="0.3">
      <c r="A154">
        <v>153</v>
      </c>
      <c r="B154">
        <v>462085664</v>
      </c>
      <c r="C154" t="s">
        <v>17</v>
      </c>
      <c r="D154" t="s">
        <v>10</v>
      </c>
      <c r="E154" s="1">
        <v>40544</v>
      </c>
      <c r="F154">
        <f t="shared" si="2"/>
        <v>1</v>
      </c>
      <c r="G154" t="s">
        <v>53</v>
      </c>
      <c r="H154" t="s">
        <v>16</v>
      </c>
      <c r="I154">
        <v>271</v>
      </c>
      <c r="J154">
        <v>25978.06</v>
      </c>
    </row>
    <row r="155" spans="1:10" x14ac:dyDescent="0.3">
      <c r="A155">
        <v>154</v>
      </c>
      <c r="B155">
        <v>902424991</v>
      </c>
      <c r="C155" t="s">
        <v>30</v>
      </c>
      <c r="D155" t="s">
        <v>14</v>
      </c>
      <c r="E155" s="1">
        <v>42522</v>
      </c>
      <c r="F155">
        <f t="shared" si="2"/>
        <v>2</v>
      </c>
      <c r="G155" t="s">
        <v>48</v>
      </c>
      <c r="H155" t="s">
        <v>16</v>
      </c>
      <c r="I155">
        <v>6463</v>
      </c>
      <c r="J155">
        <v>474642.72</v>
      </c>
    </row>
    <row r="156" spans="1:10" x14ac:dyDescent="0.3">
      <c r="A156">
        <v>155</v>
      </c>
      <c r="B156">
        <v>367576634</v>
      </c>
      <c r="C156" t="s">
        <v>24</v>
      </c>
      <c r="D156" t="s">
        <v>10</v>
      </c>
      <c r="E156" s="1">
        <v>41609</v>
      </c>
      <c r="F156">
        <f t="shared" si="2"/>
        <v>4</v>
      </c>
      <c r="G156" t="s">
        <v>39</v>
      </c>
      <c r="H156" t="s">
        <v>28</v>
      </c>
      <c r="I156">
        <v>2949</v>
      </c>
      <c r="J156">
        <v>7107.09</v>
      </c>
    </row>
    <row r="157" spans="1:10" x14ac:dyDescent="0.3">
      <c r="A157">
        <v>156</v>
      </c>
      <c r="B157">
        <v>738839423</v>
      </c>
      <c r="C157" t="s">
        <v>47</v>
      </c>
      <c r="D157" t="s">
        <v>10</v>
      </c>
      <c r="E157" s="1">
        <v>42795</v>
      </c>
      <c r="F157">
        <f t="shared" si="2"/>
        <v>1</v>
      </c>
      <c r="G157" t="s">
        <v>38</v>
      </c>
      <c r="H157" t="s">
        <v>16</v>
      </c>
      <c r="I157">
        <v>7859</v>
      </c>
      <c r="J157">
        <v>449534.8</v>
      </c>
    </row>
    <row r="158" spans="1:10" x14ac:dyDescent="0.3">
      <c r="A158">
        <v>157</v>
      </c>
      <c r="B158">
        <v>817824685</v>
      </c>
      <c r="C158" t="s">
        <v>17</v>
      </c>
      <c r="D158" t="s">
        <v>14</v>
      </c>
      <c r="E158" s="1">
        <v>40360</v>
      </c>
      <c r="F158">
        <f t="shared" si="2"/>
        <v>3</v>
      </c>
      <c r="G158" t="s">
        <v>58</v>
      </c>
      <c r="H158" t="s">
        <v>26</v>
      </c>
      <c r="I158">
        <v>1353</v>
      </c>
      <c r="J158">
        <v>129698.58</v>
      </c>
    </row>
    <row r="159" spans="1:10" x14ac:dyDescent="0.3">
      <c r="A159">
        <v>158</v>
      </c>
      <c r="B159">
        <v>376456248</v>
      </c>
      <c r="C159" t="s">
        <v>34</v>
      </c>
      <c r="D159" t="s">
        <v>14</v>
      </c>
      <c r="E159" s="1">
        <v>41456</v>
      </c>
      <c r="F159">
        <f t="shared" si="2"/>
        <v>3</v>
      </c>
      <c r="G159" t="s">
        <v>59</v>
      </c>
      <c r="H159" t="s">
        <v>19</v>
      </c>
      <c r="I159">
        <v>624</v>
      </c>
      <c r="J159">
        <v>34407.360000000001</v>
      </c>
    </row>
    <row r="160" spans="1:10" x14ac:dyDescent="0.3">
      <c r="A160">
        <v>159</v>
      </c>
      <c r="B160">
        <v>606970441</v>
      </c>
      <c r="C160" t="s">
        <v>40</v>
      </c>
      <c r="D160" t="s">
        <v>14</v>
      </c>
      <c r="E160" s="1">
        <v>42583</v>
      </c>
      <c r="F160">
        <f t="shared" si="2"/>
        <v>3</v>
      </c>
      <c r="G160" t="s">
        <v>21</v>
      </c>
      <c r="H160" t="s">
        <v>19</v>
      </c>
      <c r="I160">
        <v>4897</v>
      </c>
      <c r="J160">
        <v>618246.25</v>
      </c>
    </row>
    <row r="161" spans="1:10" x14ac:dyDescent="0.3">
      <c r="A161">
        <v>160</v>
      </c>
      <c r="B161">
        <v>971916091</v>
      </c>
      <c r="C161" t="s">
        <v>47</v>
      </c>
      <c r="D161" t="s">
        <v>10</v>
      </c>
      <c r="E161" s="1">
        <v>41974</v>
      </c>
      <c r="F161">
        <f t="shared" si="2"/>
        <v>4</v>
      </c>
      <c r="G161" t="s">
        <v>44</v>
      </c>
      <c r="H161" t="s">
        <v>26</v>
      </c>
      <c r="I161">
        <v>424</v>
      </c>
      <c r="J161">
        <v>24252.799999999999</v>
      </c>
    </row>
    <row r="162" spans="1:10" x14ac:dyDescent="0.3">
      <c r="A162">
        <v>161</v>
      </c>
      <c r="B162">
        <v>554154527</v>
      </c>
      <c r="C162" t="s">
        <v>40</v>
      </c>
      <c r="D162" t="s">
        <v>10</v>
      </c>
      <c r="E162" s="1">
        <v>41030</v>
      </c>
      <c r="F162">
        <f t="shared" si="2"/>
        <v>2</v>
      </c>
      <c r="G162" t="s">
        <v>56</v>
      </c>
      <c r="H162" t="s">
        <v>19</v>
      </c>
      <c r="I162">
        <v>5494</v>
      </c>
      <c r="J162">
        <v>693617.5</v>
      </c>
    </row>
    <row r="163" spans="1:10" x14ac:dyDescent="0.3">
      <c r="A163">
        <v>162</v>
      </c>
      <c r="B163">
        <v>306859576</v>
      </c>
      <c r="C163" t="s">
        <v>36</v>
      </c>
      <c r="D163" t="s">
        <v>14</v>
      </c>
      <c r="E163" s="1">
        <v>42917</v>
      </c>
      <c r="F163">
        <f t="shared" si="2"/>
        <v>3</v>
      </c>
      <c r="G163" t="s">
        <v>25</v>
      </c>
      <c r="H163" t="s">
        <v>26</v>
      </c>
      <c r="I163">
        <v>5423</v>
      </c>
      <c r="J163">
        <v>898753.79</v>
      </c>
    </row>
    <row r="164" spans="1:10" x14ac:dyDescent="0.3">
      <c r="A164">
        <v>163</v>
      </c>
      <c r="B164">
        <v>803517568</v>
      </c>
      <c r="C164" t="s">
        <v>43</v>
      </c>
      <c r="D164" t="s">
        <v>10</v>
      </c>
      <c r="E164" s="1">
        <v>42917</v>
      </c>
      <c r="F164">
        <f t="shared" si="2"/>
        <v>3</v>
      </c>
      <c r="G164" t="s">
        <v>11</v>
      </c>
      <c r="H164" t="s">
        <v>12</v>
      </c>
      <c r="I164">
        <v>7559</v>
      </c>
      <c r="J164">
        <v>189428.54</v>
      </c>
    </row>
    <row r="165" spans="1:10" x14ac:dyDescent="0.3">
      <c r="A165">
        <v>164</v>
      </c>
      <c r="B165">
        <v>887927329</v>
      </c>
      <c r="C165" t="s">
        <v>40</v>
      </c>
      <c r="D165" t="s">
        <v>14</v>
      </c>
      <c r="E165" s="1">
        <v>40787</v>
      </c>
      <c r="F165">
        <f t="shared" si="2"/>
        <v>3</v>
      </c>
      <c r="G165" t="s">
        <v>51</v>
      </c>
      <c r="H165" t="s">
        <v>26</v>
      </c>
      <c r="I165">
        <v>6283</v>
      </c>
      <c r="J165">
        <v>793228.75</v>
      </c>
    </row>
    <row r="166" spans="1:10" x14ac:dyDescent="0.3">
      <c r="A166">
        <v>165</v>
      </c>
      <c r="B166">
        <v>824200189</v>
      </c>
      <c r="C166" t="s">
        <v>13</v>
      </c>
      <c r="D166" t="s">
        <v>14</v>
      </c>
      <c r="E166" s="1">
        <v>42309</v>
      </c>
      <c r="F166">
        <f t="shared" si="2"/>
        <v>4</v>
      </c>
      <c r="G166" t="s">
        <v>21</v>
      </c>
      <c r="H166" t="s">
        <v>19</v>
      </c>
      <c r="I166">
        <v>8006</v>
      </c>
      <c r="J166">
        <v>505418.78</v>
      </c>
    </row>
    <row r="167" spans="1:10" x14ac:dyDescent="0.3">
      <c r="A167">
        <v>166</v>
      </c>
      <c r="B167">
        <v>946759974</v>
      </c>
      <c r="C167" t="s">
        <v>40</v>
      </c>
      <c r="D167" t="s">
        <v>14</v>
      </c>
      <c r="E167" s="1">
        <v>41122</v>
      </c>
      <c r="F167">
        <f t="shared" si="2"/>
        <v>3</v>
      </c>
      <c r="G167" t="s">
        <v>45</v>
      </c>
      <c r="H167" t="s">
        <v>12</v>
      </c>
      <c r="I167">
        <v>6170</v>
      </c>
      <c r="J167">
        <v>778962.5</v>
      </c>
    </row>
    <row r="168" spans="1:10" x14ac:dyDescent="0.3">
      <c r="A168">
        <v>167</v>
      </c>
      <c r="B168">
        <v>310343015</v>
      </c>
      <c r="C168" t="s">
        <v>30</v>
      </c>
      <c r="D168" t="s">
        <v>10</v>
      </c>
      <c r="E168" s="1">
        <v>42339</v>
      </c>
      <c r="F168">
        <f t="shared" si="2"/>
        <v>4</v>
      </c>
      <c r="G168" t="s">
        <v>18</v>
      </c>
      <c r="H168" t="s">
        <v>19</v>
      </c>
      <c r="I168">
        <v>6249</v>
      </c>
      <c r="J168">
        <v>458926.56</v>
      </c>
    </row>
    <row r="169" spans="1:10" x14ac:dyDescent="0.3">
      <c r="A169">
        <v>168</v>
      </c>
      <c r="B169">
        <v>739998137</v>
      </c>
      <c r="C169" t="s">
        <v>13</v>
      </c>
      <c r="D169" t="s">
        <v>14</v>
      </c>
      <c r="E169" s="1">
        <v>41760</v>
      </c>
      <c r="F169">
        <f t="shared" si="2"/>
        <v>2</v>
      </c>
      <c r="G169" t="s">
        <v>50</v>
      </c>
      <c r="H169" t="s">
        <v>16</v>
      </c>
      <c r="I169">
        <v>748</v>
      </c>
      <c r="J169">
        <v>47221.24</v>
      </c>
    </row>
    <row r="170" spans="1:10" x14ac:dyDescent="0.3">
      <c r="A170">
        <v>169</v>
      </c>
      <c r="B170">
        <v>981086671</v>
      </c>
      <c r="C170" t="s">
        <v>41</v>
      </c>
      <c r="D170" t="s">
        <v>14</v>
      </c>
      <c r="E170" s="1">
        <v>41183</v>
      </c>
      <c r="F170">
        <f t="shared" si="2"/>
        <v>4</v>
      </c>
      <c r="G170" t="s">
        <v>32</v>
      </c>
      <c r="H170" t="s">
        <v>26</v>
      </c>
      <c r="I170">
        <v>4203</v>
      </c>
      <c r="J170">
        <v>65818.98</v>
      </c>
    </row>
    <row r="171" spans="1:10" x14ac:dyDescent="0.3">
      <c r="A171">
        <v>170</v>
      </c>
      <c r="B171">
        <v>749282443</v>
      </c>
      <c r="C171" t="s">
        <v>40</v>
      </c>
      <c r="D171" t="s">
        <v>10</v>
      </c>
      <c r="E171" s="1">
        <v>41334</v>
      </c>
      <c r="F171">
        <f t="shared" si="2"/>
        <v>1</v>
      </c>
      <c r="G171" t="s">
        <v>32</v>
      </c>
      <c r="H171" t="s">
        <v>26</v>
      </c>
      <c r="I171">
        <v>8180</v>
      </c>
      <c r="J171">
        <v>1032725</v>
      </c>
    </row>
    <row r="172" spans="1:10" x14ac:dyDescent="0.3">
      <c r="A172">
        <v>171</v>
      </c>
      <c r="B172">
        <v>280571782</v>
      </c>
      <c r="C172" t="s">
        <v>40</v>
      </c>
      <c r="D172" t="s">
        <v>14</v>
      </c>
      <c r="E172" s="1">
        <v>40575</v>
      </c>
      <c r="F172">
        <f t="shared" si="2"/>
        <v>1</v>
      </c>
      <c r="G172" t="s">
        <v>57</v>
      </c>
      <c r="H172" t="s">
        <v>16</v>
      </c>
      <c r="I172">
        <v>6280</v>
      </c>
      <c r="J172">
        <v>792850</v>
      </c>
    </row>
    <row r="173" spans="1:10" x14ac:dyDescent="0.3">
      <c r="A173">
        <v>172</v>
      </c>
      <c r="B173">
        <v>781253516</v>
      </c>
      <c r="C173" t="s">
        <v>36</v>
      </c>
      <c r="D173" t="s">
        <v>14</v>
      </c>
      <c r="E173" s="1">
        <v>41852</v>
      </c>
      <c r="F173">
        <f t="shared" si="2"/>
        <v>3</v>
      </c>
      <c r="G173" t="s">
        <v>53</v>
      </c>
      <c r="H173" t="s">
        <v>16</v>
      </c>
      <c r="I173">
        <v>9131</v>
      </c>
      <c r="J173">
        <v>1513280.63</v>
      </c>
    </row>
    <row r="174" spans="1:10" x14ac:dyDescent="0.3">
      <c r="A174">
        <v>173</v>
      </c>
      <c r="B174">
        <v>377938973</v>
      </c>
      <c r="C174" t="s">
        <v>43</v>
      </c>
      <c r="D174" t="s">
        <v>14</v>
      </c>
      <c r="E174" s="1">
        <v>42917</v>
      </c>
      <c r="F174">
        <f t="shared" si="2"/>
        <v>3</v>
      </c>
      <c r="G174" t="s">
        <v>15</v>
      </c>
      <c r="H174" t="s">
        <v>16</v>
      </c>
      <c r="I174">
        <v>9396</v>
      </c>
      <c r="J174">
        <v>235463.76</v>
      </c>
    </row>
    <row r="175" spans="1:10" x14ac:dyDescent="0.3">
      <c r="A175">
        <v>174</v>
      </c>
      <c r="B175">
        <v>867551982</v>
      </c>
      <c r="C175" t="s">
        <v>30</v>
      </c>
      <c r="D175" t="s">
        <v>10</v>
      </c>
      <c r="E175" s="1">
        <v>40513</v>
      </c>
      <c r="F175">
        <f t="shared" si="2"/>
        <v>4</v>
      </c>
      <c r="G175" t="s">
        <v>31</v>
      </c>
      <c r="H175" t="s">
        <v>19</v>
      </c>
      <c r="I175">
        <v>6765</v>
      </c>
      <c r="J175">
        <v>496821.6</v>
      </c>
    </row>
    <row r="176" spans="1:10" x14ac:dyDescent="0.3">
      <c r="A176">
        <v>175</v>
      </c>
      <c r="B176">
        <v>967328870</v>
      </c>
      <c r="C176" t="s">
        <v>43</v>
      </c>
      <c r="D176" t="s">
        <v>10</v>
      </c>
      <c r="E176" s="1">
        <v>40179</v>
      </c>
      <c r="F176">
        <f t="shared" si="2"/>
        <v>1</v>
      </c>
      <c r="G176" t="s">
        <v>33</v>
      </c>
      <c r="H176" t="s">
        <v>12</v>
      </c>
      <c r="I176">
        <v>2964</v>
      </c>
      <c r="J176">
        <v>74277.84</v>
      </c>
    </row>
    <row r="177" spans="1:10" x14ac:dyDescent="0.3">
      <c r="A177">
        <v>176</v>
      </c>
      <c r="B177">
        <v>364818465</v>
      </c>
      <c r="C177" t="s">
        <v>40</v>
      </c>
      <c r="D177" t="s">
        <v>10</v>
      </c>
      <c r="E177" s="1">
        <v>40787</v>
      </c>
      <c r="F177">
        <f t="shared" si="2"/>
        <v>3</v>
      </c>
      <c r="G177" t="s">
        <v>48</v>
      </c>
      <c r="H177" t="s">
        <v>16</v>
      </c>
      <c r="I177">
        <v>6746</v>
      </c>
      <c r="J177">
        <v>851682.5</v>
      </c>
    </row>
    <row r="178" spans="1:10" x14ac:dyDescent="0.3">
      <c r="A178">
        <v>177</v>
      </c>
      <c r="B178">
        <v>167882096</v>
      </c>
      <c r="C178" t="s">
        <v>40</v>
      </c>
      <c r="D178" t="s">
        <v>14</v>
      </c>
      <c r="E178" s="1">
        <v>41699</v>
      </c>
      <c r="F178">
        <f t="shared" si="2"/>
        <v>1</v>
      </c>
      <c r="G178" t="s">
        <v>42</v>
      </c>
      <c r="H178" t="s">
        <v>26</v>
      </c>
      <c r="I178">
        <v>8898</v>
      </c>
      <c r="J178">
        <v>1123372.5</v>
      </c>
    </row>
    <row r="179" spans="1:10" x14ac:dyDescent="0.3">
      <c r="A179">
        <v>178</v>
      </c>
      <c r="B179">
        <v>654693591</v>
      </c>
      <c r="C179" t="s">
        <v>30</v>
      </c>
      <c r="D179" t="s">
        <v>14</v>
      </c>
      <c r="E179" s="1">
        <v>41214</v>
      </c>
      <c r="F179">
        <f t="shared" si="2"/>
        <v>4</v>
      </c>
      <c r="G179" t="s">
        <v>56</v>
      </c>
      <c r="H179" t="s">
        <v>19</v>
      </c>
      <c r="I179">
        <v>7237</v>
      </c>
      <c r="J179">
        <v>531485.28</v>
      </c>
    </row>
    <row r="180" spans="1:10" x14ac:dyDescent="0.3">
      <c r="A180">
        <v>179</v>
      </c>
      <c r="B180">
        <v>823739278</v>
      </c>
      <c r="C180" t="s">
        <v>43</v>
      </c>
      <c r="D180" t="s">
        <v>10</v>
      </c>
      <c r="E180" s="1">
        <v>40848</v>
      </c>
      <c r="F180">
        <f t="shared" si="2"/>
        <v>4</v>
      </c>
      <c r="G180" t="s">
        <v>31</v>
      </c>
      <c r="H180" t="s">
        <v>19</v>
      </c>
      <c r="I180">
        <v>1612</v>
      </c>
      <c r="J180">
        <v>40396.720000000001</v>
      </c>
    </row>
    <row r="181" spans="1:10" x14ac:dyDescent="0.3">
      <c r="A181">
        <v>180</v>
      </c>
      <c r="B181">
        <v>643817985</v>
      </c>
      <c r="C181" t="s">
        <v>41</v>
      </c>
      <c r="D181" t="s">
        <v>10</v>
      </c>
      <c r="E181" s="1">
        <v>41091</v>
      </c>
      <c r="F181">
        <f t="shared" si="2"/>
        <v>3</v>
      </c>
      <c r="G181" t="s">
        <v>25</v>
      </c>
      <c r="H181" t="s">
        <v>26</v>
      </c>
      <c r="I181">
        <v>8904</v>
      </c>
      <c r="J181">
        <v>139436.64000000001</v>
      </c>
    </row>
    <row r="182" spans="1:10" x14ac:dyDescent="0.3">
      <c r="A182">
        <v>181</v>
      </c>
      <c r="B182">
        <v>604041039</v>
      </c>
      <c r="C182" t="s">
        <v>43</v>
      </c>
      <c r="D182" t="s">
        <v>10</v>
      </c>
      <c r="E182" s="1">
        <v>42795</v>
      </c>
      <c r="F182">
        <f t="shared" si="2"/>
        <v>1</v>
      </c>
      <c r="G182" t="s">
        <v>55</v>
      </c>
      <c r="H182" t="s">
        <v>26</v>
      </c>
      <c r="I182">
        <v>8022</v>
      </c>
      <c r="J182">
        <v>201031.32</v>
      </c>
    </row>
    <row r="183" spans="1:10" x14ac:dyDescent="0.3">
      <c r="A183">
        <v>182</v>
      </c>
      <c r="B183">
        <v>363832271</v>
      </c>
      <c r="C183" t="s">
        <v>43</v>
      </c>
      <c r="D183" t="s">
        <v>14</v>
      </c>
      <c r="E183" s="1">
        <v>40360</v>
      </c>
      <c r="F183">
        <f t="shared" si="2"/>
        <v>3</v>
      </c>
      <c r="G183" t="s">
        <v>58</v>
      </c>
      <c r="H183" t="s">
        <v>26</v>
      </c>
      <c r="I183">
        <v>4909</v>
      </c>
      <c r="J183">
        <v>123019.54</v>
      </c>
    </row>
    <row r="184" spans="1:10" x14ac:dyDescent="0.3">
      <c r="A184">
        <v>183</v>
      </c>
      <c r="B184">
        <v>102928006</v>
      </c>
      <c r="C184" t="s">
        <v>43</v>
      </c>
      <c r="D184" t="s">
        <v>14</v>
      </c>
      <c r="E184" s="1">
        <v>42339</v>
      </c>
      <c r="F184">
        <f t="shared" si="2"/>
        <v>4</v>
      </c>
      <c r="G184" t="s">
        <v>32</v>
      </c>
      <c r="H184" t="s">
        <v>26</v>
      </c>
      <c r="I184">
        <v>7539</v>
      </c>
      <c r="J184">
        <v>188927.34</v>
      </c>
    </row>
    <row r="185" spans="1:10" x14ac:dyDescent="0.3">
      <c r="A185">
        <v>184</v>
      </c>
      <c r="B185">
        <v>971377074</v>
      </c>
      <c r="C185" t="s">
        <v>40</v>
      </c>
      <c r="D185" t="s">
        <v>10</v>
      </c>
      <c r="E185" s="1">
        <v>42491</v>
      </c>
      <c r="F185">
        <f t="shared" si="2"/>
        <v>2</v>
      </c>
      <c r="G185" t="s">
        <v>11</v>
      </c>
      <c r="H185" t="s">
        <v>12</v>
      </c>
      <c r="I185">
        <v>917</v>
      </c>
      <c r="J185">
        <v>115771.25</v>
      </c>
    </row>
    <row r="186" spans="1:10" x14ac:dyDescent="0.3">
      <c r="A186">
        <v>185</v>
      </c>
      <c r="B186">
        <v>139540803</v>
      </c>
      <c r="C186" t="s">
        <v>47</v>
      </c>
      <c r="D186" t="s">
        <v>14</v>
      </c>
      <c r="E186" s="1">
        <v>40483</v>
      </c>
      <c r="F186">
        <f t="shared" si="2"/>
        <v>4</v>
      </c>
      <c r="G186" t="s">
        <v>11</v>
      </c>
      <c r="H186" t="s">
        <v>12</v>
      </c>
      <c r="I186">
        <v>2079</v>
      </c>
      <c r="J186">
        <v>118918.8</v>
      </c>
    </row>
    <row r="187" spans="1:10" x14ac:dyDescent="0.3">
      <c r="A187">
        <v>186</v>
      </c>
      <c r="B187">
        <v>248093020</v>
      </c>
      <c r="C187" t="s">
        <v>47</v>
      </c>
      <c r="D187" t="s">
        <v>10</v>
      </c>
      <c r="E187" s="1">
        <v>40513</v>
      </c>
      <c r="F187">
        <f t="shared" si="2"/>
        <v>4</v>
      </c>
      <c r="G187" t="s">
        <v>42</v>
      </c>
      <c r="H187" t="s">
        <v>26</v>
      </c>
      <c r="I187">
        <v>5093</v>
      </c>
      <c r="J187">
        <v>291319.59999999998</v>
      </c>
    </row>
    <row r="188" spans="1:10" x14ac:dyDescent="0.3">
      <c r="A188">
        <v>187</v>
      </c>
      <c r="B188">
        <v>858020055</v>
      </c>
      <c r="C188" t="s">
        <v>34</v>
      </c>
      <c r="D188" t="s">
        <v>10</v>
      </c>
      <c r="E188" s="1">
        <v>41640</v>
      </c>
      <c r="F188">
        <f t="shared" si="2"/>
        <v>1</v>
      </c>
      <c r="G188" t="s">
        <v>27</v>
      </c>
      <c r="H188" t="s">
        <v>28</v>
      </c>
      <c r="I188">
        <v>6056</v>
      </c>
      <c r="J188">
        <v>333927.84000000003</v>
      </c>
    </row>
    <row r="189" spans="1:10" x14ac:dyDescent="0.3">
      <c r="A189">
        <v>188</v>
      </c>
      <c r="B189">
        <v>700620734</v>
      </c>
      <c r="C189" t="s">
        <v>17</v>
      </c>
      <c r="D189" t="s">
        <v>10</v>
      </c>
      <c r="E189" s="1">
        <v>41974</v>
      </c>
      <c r="F189">
        <f t="shared" si="2"/>
        <v>4</v>
      </c>
      <c r="G189" t="s">
        <v>49</v>
      </c>
      <c r="H189" t="s">
        <v>19</v>
      </c>
      <c r="I189">
        <v>8099</v>
      </c>
      <c r="J189">
        <v>776370.14</v>
      </c>
    </row>
    <row r="190" spans="1:10" x14ac:dyDescent="0.3">
      <c r="A190">
        <v>189</v>
      </c>
      <c r="B190">
        <v>827506387</v>
      </c>
      <c r="C190" t="s">
        <v>9</v>
      </c>
      <c r="D190" t="s">
        <v>10</v>
      </c>
      <c r="E190" s="1">
        <v>42705</v>
      </c>
      <c r="F190">
        <f t="shared" si="2"/>
        <v>4</v>
      </c>
      <c r="G190" t="s">
        <v>53</v>
      </c>
      <c r="H190" t="s">
        <v>16</v>
      </c>
      <c r="I190">
        <v>6384</v>
      </c>
      <c r="J190">
        <v>1109986.08</v>
      </c>
    </row>
    <row r="191" spans="1:10" x14ac:dyDescent="0.3">
      <c r="A191">
        <v>190</v>
      </c>
      <c r="B191">
        <v>560600841</v>
      </c>
      <c r="C191" t="s">
        <v>36</v>
      </c>
      <c r="D191" t="s">
        <v>14</v>
      </c>
      <c r="E191" s="1">
        <v>41334</v>
      </c>
      <c r="F191">
        <f t="shared" si="2"/>
        <v>1</v>
      </c>
      <c r="G191" t="s">
        <v>50</v>
      </c>
      <c r="H191" t="s">
        <v>16</v>
      </c>
      <c r="I191">
        <v>3101</v>
      </c>
      <c r="J191">
        <v>513928.73</v>
      </c>
    </row>
    <row r="192" spans="1:10" x14ac:dyDescent="0.3">
      <c r="A192">
        <v>191</v>
      </c>
      <c r="B192">
        <v>642140424</v>
      </c>
      <c r="C192" t="s">
        <v>43</v>
      </c>
      <c r="D192" t="s">
        <v>10</v>
      </c>
      <c r="E192" s="1">
        <v>41244</v>
      </c>
      <c r="F192">
        <f t="shared" si="2"/>
        <v>4</v>
      </c>
      <c r="G192" t="s">
        <v>15</v>
      </c>
      <c r="H192" t="s">
        <v>16</v>
      </c>
      <c r="I192">
        <v>2476</v>
      </c>
      <c r="J192">
        <v>62048.56</v>
      </c>
    </row>
    <row r="193" spans="1:10" x14ac:dyDescent="0.3">
      <c r="A193">
        <v>192</v>
      </c>
      <c r="B193">
        <v>984673964</v>
      </c>
      <c r="C193" t="s">
        <v>17</v>
      </c>
      <c r="D193" t="s">
        <v>10</v>
      </c>
      <c r="E193" s="1">
        <v>42036</v>
      </c>
      <c r="F193">
        <f t="shared" si="2"/>
        <v>1</v>
      </c>
      <c r="G193" t="s">
        <v>48</v>
      </c>
      <c r="H193" t="s">
        <v>16</v>
      </c>
      <c r="I193">
        <v>5763</v>
      </c>
      <c r="J193">
        <v>552441.18000000005</v>
      </c>
    </row>
    <row r="194" spans="1:10" x14ac:dyDescent="0.3">
      <c r="A194">
        <v>193</v>
      </c>
      <c r="B194">
        <v>221062791</v>
      </c>
      <c r="C194" t="s">
        <v>41</v>
      </c>
      <c r="D194" t="s">
        <v>14</v>
      </c>
      <c r="E194" s="1">
        <v>40969</v>
      </c>
      <c r="F194">
        <f t="shared" ref="F194:F257" si="3">ROUNDUP(MONTH(E194)/3,0)</f>
        <v>1</v>
      </c>
      <c r="G194" t="s">
        <v>35</v>
      </c>
      <c r="H194" t="s">
        <v>19</v>
      </c>
      <c r="I194">
        <v>6247</v>
      </c>
      <c r="J194">
        <v>97828.02</v>
      </c>
    </row>
    <row r="195" spans="1:10" x14ac:dyDescent="0.3">
      <c r="A195">
        <v>194</v>
      </c>
      <c r="B195">
        <v>654480731</v>
      </c>
      <c r="C195" t="s">
        <v>13</v>
      </c>
      <c r="D195" t="s">
        <v>10</v>
      </c>
      <c r="E195" s="1">
        <v>42644</v>
      </c>
      <c r="F195">
        <f t="shared" si="3"/>
        <v>4</v>
      </c>
      <c r="G195" t="s">
        <v>54</v>
      </c>
      <c r="H195" t="s">
        <v>16</v>
      </c>
      <c r="I195">
        <v>4247</v>
      </c>
      <c r="J195">
        <v>268113.11</v>
      </c>
    </row>
    <row r="196" spans="1:10" x14ac:dyDescent="0.3">
      <c r="A196">
        <v>195</v>
      </c>
      <c r="B196">
        <v>608414113</v>
      </c>
      <c r="C196" t="s">
        <v>41</v>
      </c>
      <c r="D196" t="s">
        <v>10</v>
      </c>
      <c r="E196" s="1">
        <v>40878</v>
      </c>
      <c r="F196">
        <f t="shared" si="3"/>
        <v>4</v>
      </c>
      <c r="G196" t="s">
        <v>35</v>
      </c>
      <c r="H196" t="s">
        <v>19</v>
      </c>
      <c r="I196">
        <v>2111</v>
      </c>
      <c r="J196">
        <v>33058.26</v>
      </c>
    </row>
    <row r="197" spans="1:10" x14ac:dyDescent="0.3">
      <c r="A197">
        <v>196</v>
      </c>
      <c r="B197">
        <v>276661765</v>
      </c>
      <c r="C197" t="s">
        <v>36</v>
      </c>
      <c r="D197" t="s">
        <v>14</v>
      </c>
      <c r="E197" s="1">
        <v>42430</v>
      </c>
      <c r="F197">
        <f t="shared" si="3"/>
        <v>1</v>
      </c>
      <c r="G197" t="s">
        <v>18</v>
      </c>
      <c r="H197" t="s">
        <v>19</v>
      </c>
      <c r="I197">
        <v>9219</v>
      </c>
      <c r="J197">
        <v>1527864.87</v>
      </c>
    </row>
    <row r="198" spans="1:10" x14ac:dyDescent="0.3">
      <c r="A198">
        <v>197</v>
      </c>
      <c r="B198">
        <v>373335015</v>
      </c>
      <c r="C198" t="s">
        <v>17</v>
      </c>
      <c r="D198" t="s">
        <v>14</v>
      </c>
      <c r="E198" s="1">
        <v>40544</v>
      </c>
      <c r="F198">
        <f t="shared" si="3"/>
        <v>1</v>
      </c>
      <c r="G198" t="s">
        <v>27</v>
      </c>
      <c r="H198" t="s">
        <v>28</v>
      </c>
      <c r="I198">
        <v>6982</v>
      </c>
      <c r="J198">
        <v>669294.52</v>
      </c>
    </row>
    <row r="199" spans="1:10" x14ac:dyDescent="0.3">
      <c r="A199">
        <v>198</v>
      </c>
      <c r="B199">
        <v>782857692</v>
      </c>
      <c r="C199" t="s">
        <v>30</v>
      </c>
      <c r="D199" t="s">
        <v>14</v>
      </c>
      <c r="E199" s="1">
        <v>41365</v>
      </c>
      <c r="F199">
        <f t="shared" si="3"/>
        <v>2</v>
      </c>
      <c r="G199" t="s">
        <v>25</v>
      </c>
      <c r="H199" t="s">
        <v>26</v>
      </c>
      <c r="I199">
        <v>3843</v>
      </c>
      <c r="J199">
        <v>282229.92</v>
      </c>
    </row>
    <row r="200" spans="1:10" x14ac:dyDescent="0.3">
      <c r="A200">
        <v>199</v>
      </c>
      <c r="B200">
        <v>109966123</v>
      </c>
      <c r="C200" t="s">
        <v>24</v>
      </c>
      <c r="D200" t="s">
        <v>14</v>
      </c>
      <c r="E200" s="1">
        <v>40299</v>
      </c>
      <c r="F200">
        <f t="shared" si="3"/>
        <v>2</v>
      </c>
      <c r="G200" t="s">
        <v>32</v>
      </c>
      <c r="H200" t="s">
        <v>26</v>
      </c>
      <c r="I200">
        <v>274</v>
      </c>
      <c r="J200">
        <v>660.34</v>
      </c>
    </row>
    <row r="201" spans="1:10" x14ac:dyDescent="0.3">
      <c r="A201">
        <v>200</v>
      </c>
      <c r="B201">
        <v>629709136</v>
      </c>
      <c r="C201" t="s">
        <v>20</v>
      </c>
      <c r="D201" t="s">
        <v>10</v>
      </c>
      <c r="E201" s="1">
        <v>42887</v>
      </c>
      <c r="F201">
        <f t="shared" si="3"/>
        <v>2</v>
      </c>
      <c r="G201" t="s">
        <v>54</v>
      </c>
      <c r="H201" t="s">
        <v>16</v>
      </c>
      <c r="I201">
        <v>3782</v>
      </c>
      <c r="J201">
        <v>335047.38</v>
      </c>
    </row>
    <row r="202" spans="1:10" x14ac:dyDescent="0.3">
      <c r="A202">
        <v>201</v>
      </c>
      <c r="B202">
        <v>637448060</v>
      </c>
      <c r="C202" t="s">
        <v>43</v>
      </c>
      <c r="D202" t="s">
        <v>14</v>
      </c>
      <c r="E202" s="1">
        <v>41153</v>
      </c>
      <c r="F202">
        <f t="shared" si="3"/>
        <v>3</v>
      </c>
      <c r="G202" t="s">
        <v>51</v>
      </c>
      <c r="H202" t="s">
        <v>26</v>
      </c>
      <c r="I202">
        <v>3901</v>
      </c>
      <c r="J202">
        <v>97759.06</v>
      </c>
    </row>
    <row r="203" spans="1:10" x14ac:dyDescent="0.3">
      <c r="A203">
        <v>202</v>
      </c>
      <c r="B203">
        <v>298856723</v>
      </c>
      <c r="C203" t="s">
        <v>17</v>
      </c>
      <c r="D203" t="s">
        <v>14</v>
      </c>
      <c r="E203" s="1">
        <v>42795</v>
      </c>
      <c r="F203">
        <f t="shared" si="3"/>
        <v>1</v>
      </c>
      <c r="G203" t="s">
        <v>50</v>
      </c>
      <c r="H203" t="s">
        <v>16</v>
      </c>
      <c r="I203">
        <v>7200</v>
      </c>
      <c r="J203">
        <v>690192</v>
      </c>
    </row>
    <row r="204" spans="1:10" x14ac:dyDescent="0.3">
      <c r="A204">
        <v>203</v>
      </c>
      <c r="B204">
        <v>299921452</v>
      </c>
      <c r="C204" t="s">
        <v>36</v>
      </c>
      <c r="D204" t="s">
        <v>10</v>
      </c>
      <c r="E204" s="1">
        <v>42005</v>
      </c>
      <c r="F204">
        <f t="shared" si="3"/>
        <v>1</v>
      </c>
      <c r="G204" t="s">
        <v>27</v>
      </c>
      <c r="H204" t="s">
        <v>28</v>
      </c>
      <c r="I204">
        <v>2278</v>
      </c>
      <c r="J204">
        <v>377532.94</v>
      </c>
    </row>
    <row r="205" spans="1:10" x14ac:dyDescent="0.3">
      <c r="A205">
        <v>204</v>
      </c>
      <c r="B205">
        <v>496941077</v>
      </c>
      <c r="C205" t="s">
        <v>43</v>
      </c>
      <c r="D205" t="s">
        <v>10</v>
      </c>
      <c r="E205" s="1">
        <v>40360</v>
      </c>
      <c r="F205">
        <f t="shared" si="3"/>
        <v>3</v>
      </c>
      <c r="G205" t="s">
        <v>38</v>
      </c>
      <c r="H205" t="s">
        <v>16</v>
      </c>
      <c r="I205">
        <v>4763</v>
      </c>
      <c r="J205">
        <v>119360.78</v>
      </c>
    </row>
    <row r="206" spans="1:10" x14ac:dyDescent="0.3">
      <c r="A206">
        <v>205</v>
      </c>
      <c r="B206">
        <v>366526925</v>
      </c>
      <c r="C206" t="s">
        <v>34</v>
      </c>
      <c r="D206" t="s">
        <v>14</v>
      </c>
      <c r="E206" s="1">
        <v>42522</v>
      </c>
      <c r="F206">
        <f t="shared" si="3"/>
        <v>2</v>
      </c>
      <c r="G206" t="s">
        <v>35</v>
      </c>
      <c r="H206" t="s">
        <v>19</v>
      </c>
      <c r="I206">
        <v>2317</v>
      </c>
      <c r="J206">
        <v>127759.38</v>
      </c>
    </row>
    <row r="207" spans="1:10" x14ac:dyDescent="0.3">
      <c r="A207">
        <v>206</v>
      </c>
      <c r="B207">
        <v>355602824</v>
      </c>
      <c r="C207" t="s">
        <v>47</v>
      </c>
      <c r="D207" t="s">
        <v>10</v>
      </c>
      <c r="E207" s="1">
        <v>41122</v>
      </c>
      <c r="F207">
        <f t="shared" si="3"/>
        <v>3</v>
      </c>
      <c r="G207" t="s">
        <v>32</v>
      </c>
      <c r="H207" t="s">
        <v>26</v>
      </c>
      <c r="I207">
        <v>9633</v>
      </c>
      <c r="J207">
        <v>551007.6</v>
      </c>
    </row>
    <row r="208" spans="1:10" x14ac:dyDescent="0.3">
      <c r="A208">
        <v>207</v>
      </c>
      <c r="B208">
        <v>531405103</v>
      </c>
      <c r="C208" t="s">
        <v>13</v>
      </c>
      <c r="D208" t="s">
        <v>14</v>
      </c>
      <c r="E208" s="1">
        <v>40238</v>
      </c>
      <c r="F208">
        <f t="shared" si="3"/>
        <v>1</v>
      </c>
      <c r="G208" t="s">
        <v>39</v>
      </c>
      <c r="H208" t="s">
        <v>28</v>
      </c>
      <c r="I208">
        <v>3434</v>
      </c>
      <c r="J208">
        <v>216788.42</v>
      </c>
    </row>
    <row r="209" spans="1:10" x14ac:dyDescent="0.3">
      <c r="A209">
        <v>208</v>
      </c>
      <c r="B209">
        <v>131482589</v>
      </c>
      <c r="C209" t="s">
        <v>13</v>
      </c>
      <c r="D209" t="s">
        <v>10</v>
      </c>
      <c r="E209" s="1">
        <v>40179</v>
      </c>
      <c r="F209">
        <f t="shared" si="3"/>
        <v>1</v>
      </c>
      <c r="G209" t="s">
        <v>39</v>
      </c>
      <c r="H209" t="s">
        <v>28</v>
      </c>
      <c r="I209">
        <v>7475</v>
      </c>
      <c r="J209">
        <v>471896.75</v>
      </c>
    </row>
    <row r="210" spans="1:10" x14ac:dyDescent="0.3">
      <c r="A210">
        <v>209</v>
      </c>
      <c r="B210">
        <v>713696610</v>
      </c>
      <c r="C210" t="s">
        <v>20</v>
      </c>
      <c r="D210" t="s">
        <v>14</v>
      </c>
      <c r="E210" s="1">
        <v>41671</v>
      </c>
      <c r="F210">
        <f t="shared" si="3"/>
        <v>1</v>
      </c>
      <c r="G210" t="s">
        <v>35</v>
      </c>
      <c r="H210" t="s">
        <v>19</v>
      </c>
      <c r="I210">
        <v>7542</v>
      </c>
      <c r="J210">
        <v>668145.78</v>
      </c>
    </row>
    <row r="211" spans="1:10" x14ac:dyDescent="0.3">
      <c r="A211">
        <v>210</v>
      </c>
      <c r="B211">
        <v>306220996</v>
      </c>
      <c r="C211" t="s">
        <v>13</v>
      </c>
      <c r="D211" t="s">
        <v>14</v>
      </c>
      <c r="E211" s="1">
        <v>41640</v>
      </c>
      <c r="F211">
        <f t="shared" si="3"/>
        <v>1</v>
      </c>
      <c r="G211" t="s">
        <v>55</v>
      </c>
      <c r="H211" t="s">
        <v>26</v>
      </c>
      <c r="I211">
        <v>6452</v>
      </c>
      <c r="J211">
        <v>407314.76</v>
      </c>
    </row>
    <row r="212" spans="1:10" x14ac:dyDescent="0.3">
      <c r="A212">
        <v>211</v>
      </c>
      <c r="B212">
        <v>157542073</v>
      </c>
      <c r="C212" t="s">
        <v>36</v>
      </c>
      <c r="D212" t="s">
        <v>10</v>
      </c>
      <c r="E212" s="1">
        <v>40210</v>
      </c>
      <c r="F212">
        <f t="shared" si="3"/>
        <v>1</v>
      </c>
      <c r="G212" t="s">
        <v>54</v>
      </c>
      <c r="H212" t="s">
        <v>16</v>
      </c>
      <c r="I212">
        <v>9055</v>
      </c>
      <c r="J212">
        <v>1500685.15</v>
      </c>
    </row>
    <row r="213" spans="1:10" x14ac:dyDescent="0.3">
      <c r="A213">
        <v>212</v>
      </c>
      <c r="B213">
        <v>686458671</v>
      </c>
      <c r="C213" t="s">
        <v>43</v>
      </c>
      <c r="D213" t="s">
        <v>14</v>
      </c>
      <c r="E213" s="1">
        <v>42036</v>
      </c>
      <c r="F213">
        <f t="shared" si="3"/>
        <v>1</v>
      </c>
      <c r="G213" t="s">
        <v>15</v>
      </c>
      <c r="H213" t="s">
        <v>16</v>
      </c>
      <c r="I213">
        <v>7230</v>
      </c>
      <c r="J213">
        <v>181183.8</v>
      </c>
    </row>
    <row r="214" spans="1:10" x14ac:dyDescent="0.3">
      <c r="A214">
        <v>213</v>
      </c>
      <c r="B214">
        <v>132082116</v>
      </c>
      <c r="C214" t="s">
        <v>40</v>
      </c>
      <c r="D214" t="s">
        <v>14</v>
      </c>
      <c r="E214" s="1">
        <v>41061</v>
      </c>
      <c r="F214">
        <f t="shared" si="3"/>
        <v>2</v>
      </c>
      <c r="G214" t="s">
        <v>50</v>
      </c>
      <c r="H214" t="s">
        <v>16</v>
      </c>
      <c r="I214">
        <v>4888</v>
      </c>
      <c r="J214">
        <v>617110</v>
      </c>
    </row>
    <row r="215" spans="1:10" x14ac:dyDescent="0.3">
      <c r="A215">
        <v>214</v>
      </c>
      <c r="B215">
        <v>403836238</v>
      </c>
      <c r="C215" t="s">
        <v>30</v>
      </c>
      <c r="D215" t="s">
        <v>14</v>
      </c>
      <c r="E215" s="1">
        <v>41334</v>
      </c>
      <c r="F215">
        <f t="shared" si="3"/>
        <v>1</v>
      </c>
      <c r="G215" t="s">
        <v>35</v>
      </c>
      <c r="H215" t="s">
        <v>19</v>
      </c>
      <c r="I215">
        <v>2972</v>
      </c>
      <c r="J215">
        <v>218263.67999999999</v>
      </c>
    </row>
    <row r="216" spans="1:10" x14ac:dyDescent="0.3">
      <c r="A216">
        <v>215</v>
      </c>
      <c r="B216">
        <v>331457364</v>
      </c>
      <c r="C216" t="s">
        <v>36</v>
      </c>
      <c r="D216" t="s">
        <v>14</v>
      </c>
      <c r="E216" s="1">
        <v>41730</v>
      </c>
      <c r="F216">
        <f t="shared" si="3"/>
        <v>2</v>
      </c>
      <c r="G216" t="s">
        <v>50</v>
      </c>
      <c r="H216" t="s">
        <v>16</v>
      </c>
      <c r="I216">
        <v>4455</v>
      </c>
      <c r="J216">
        <v>738327.15</v>
      </c>
    </row>
    <row r="217" spans="1:10" x14ac:dyDescent="0.3">
      <c r="A217">
        <v>216</v>
      </c>
      <c r="B217">
        <v>614994323</v>
      </c>
      <c r="C217" t="s">
        <v>47</v>
      </c>
      <c r="D217" t="s">
        <v>14</v>
      </c>
      <c r="E217" s="1">
        <v>42917</v>
      </c>
      <c r="F217">
        <f t="shared" si="3"/>
        <v>3</v>
      </c>
      <c r="G217" t="s">
        <v>11</v>
      </c>
      <c r="H217" t="s">
        <v>12</v>
      </c>
      <c r="I217">
        <v>9341</v>
      </c>
      <c r="J217">
        <v>534305.19999999995</v>
      </c>
    </row>
    <row r="218" spans="1:10" x14ac:dyDescent="0.3">
      <c r="A218">
        <v>217</v>
      </c>
      <c r="B218">
        <v>674808442</v>
      </c>
      <c r="C218" t="s">
        <v>24</v>
      </c>
      <c r="D218" t="s">
        <v>10</v>
      </c>
      <c r="E218" s="1">
        <v>40452</v>
      </c>
      <c r="F218">
        <f t="shared" si="3"/>
        <v>4</v>
      </c>
      <c r="G218" t="s">
        <v>27</v>
      </c>
      <c r="H218" t="s">
        <v>28</v>
      </c>
      <c r="I218">
        <v>9669</v>
      </c>
      <c r="J218">
        <v>23302.29</v>
      </c>
    </row>
    <row r="219" spans="1:10" x14ac:dyDescent="0.3">
      <c r="A219">
        <v>218</v>
      </c>
      <c r="B219">
        <v>901573550</v>
      </c>
      <c r="C219" t="s">
        <v>17</v>
      </c>
      <c r="D219" t="s">
        <v>10</v>
      </c>
      <c r="E219" s="1">
        <v>42675</v>
      </c>
      <c r="F219">
        <f t="shared" si="3"/>
        <v>4</v>
      </c>
      <c r="G219" t="s">
        <v>27</v>
      </c>
      <c r="H219" t="s">
        <v>28</v>
      </c>
      <c r="I219">
        <v>4503</v>
      </c>
      <c r="J219">
        <v>431657.58</v>
      </c>
    </row>
    <row r="220" spans="1:10" x14ac:dyDescent="0.3">
      <c r="A220">
        <v>219</v>
      </c>
      <c r="B220">
        <v>406275975</v>
      </c>
      <c r="C220" t="s">
        <v>30</v>
      </c>
      <c r="D220" t="s">
        <v>14</v>
      </c>
      <c r="E220" s="1">
        <v>41699</v>
      </c>
      <c r="F220">
        <f t="shared" si="3"/>
        <v>1</v>
      </c>
      <c r="G220" t="s">
        <v>21</v>
      </c>
      <c r="H220" t="s">
        <v>19</v>
      </c>
      <c r="I220">
        <v>4944</v>
      </c>
      <c r="J220">
        <v>363087.35999999999</v>
      </c>
    </row>
    <row r="221" spans="1:10" x14ac:dyDescent="0.3">
      <c r="A221">
        <v>220</v>
      </c>
      <c r="B221">
        <v>170214545</v>
      </c>
      <c r="C221" t="s">
        <v>13</v>
      </c>
      <c r="D221" t="s">
        <v>14</v>
      </c>
      <c r="E221" s="1">
        <v>42583</v>
      </c>
      <c r="F221">
        <f t="shared" si="3"/>
        <v>3</v>
      </c>
      <c r="G221" t="s">
        <v>46</v>
      </c>
      <c r="H221" t="s">
        <v>28</v>
      </c>
      <c r="I221">
        <v>9121</v>
      </c>
      <c r="J221">
        <v>575808.73</v>
      </c>
    </row>
    <row r="222" spans="1:10" x14ac:dyDescent="0.3">
      <c r="A222">
        <v>221</v>
      </c>
      <c r="B222">
        <v>795000588</v>
      </c>
      <c r="C222" t="s">
        <v>43</v>
      </c>
      <c r="D222" t="s">
        <v>10</v>
      </c>
      <c r="E222" s="1">
        <v>42370</v>
      </c>
      <c r="F222">
        <f t="shared" si="3"/>
        <v>1</v>
      </c>
      <c r="G222" t="s">
        <v>42</v>
      </c>
      <c r="H222" t="s">
        <v>26</v>
      </c>
      <c r="I222">
        <v>7196</v>
      </c>
      <c r="J222">
        <v>180331.76</v>
      </c>
    </row>
    <row r="223" spans="1:10" x14ac:dyDescent="0.3">
      <c r="A223">
        <v>222</v>
      </c>
      <c r="B223">
        <v>252557933</v>
      </c>
      <c r="C223" t="s">
        <v>24</v>
      </c>
      <c r="D223" t="s">
        <v>10</v>
      </c>
      <c r="E223" s="1">
        <v>42644</v>
      </c>
      <c r="F223">
        <f t="shared" si="3"/>
        <v>4</v>
      </c>
      <c r="G223" t="s">
        <v>57</v>
      </c>
      <c r="H223" t="s">
        <v>16</v>
      </c>
      <c r="I223">
        <v>6360</v>
      </c>
      <c r="J223">
        <v>15327.6</v>
      </c>
    </row>
    <row r="224" spans="1:10" x14ac:dyDescent="0.3">
      <c r="A224">
        <v>223</v>
      </c>
      <c r="B224">
        <v>635122907</v>
      </c>
      <c r="C224" t="s">
        <v>17</v>
      </c>
      <c r="D224" t="s">
        <v>10</v>
      </c>
      <c r="E224" s="1">
        <v>42705</v>
      </c>
      <c r="F224">
        <f t="shared" si="3"/>
        <v>4</v>
      </c>
      <c r="G224" t="s">
        <v>46</v>
      </c>
      <c r="H224" t="s">
        <v>28</v>
      </c>
      <c r="I224">
        <v>5837</v>
      </c>
      <c r="J224">
        <v>559534.81999999995</v>
      </c>
    </row>
    <row r="225" spans="1:10" x14ac:dyDescent="0.3">
      <c r="A225">
        <v>224</v>
      </c>
      <c r="B225">
        <v>505244338</v>
      </c>
      <c r="C225" t="s">
        <v>13</v>
      </c>
      <c r="D225" t="s">
        <v>14</v>
      </c>
      <c r="E225" s="1">
        <v>40756</v>
      </c>
      <c r="F225">
        <f t="shared" si="3"/>
        <v>3</v>
      </c>
      <c r="G225" t="s">
        <v>18</v>
      </c>
      <c r="H225" t="s">
        <v>19</v>
      </c>
      <c r="I225">
        <v>1882</v>
      </c>
      <c r="J225">
        <v>118810.66</v>
      </c>
    </row>
    <row r="226" spans="1:10" x14ac:dyDescent="0.3">
      <c r="A226">
        <v>225</v>
      </c>
      <c r="B226">
        <v>745783555</v>
      </c>
      <c r="C226" t="s">
        <v>30</v>
      </c>
      <c r="D226" t="s">
        <v>10</v>
      </c>
      <c r="E226" s="1">
        <v>40969</v>
      </c>
      <c r="F226">
        <f t="shared" si="3"/>
        <v>1</v>
      </c>
      <c r="G226" t="s">
        <v>52</v>
      </c>
      <c r="H226" t="s">
        <v>19</v>
      </c>
      <c r="I226">
        <v>2782</v>
      </c>
      <c r="J226">
        <v>204310.08</v>
      </c>
    </row>
    <row r="227" spans="1:10" x14ac:dyDescent="0.3">
      <c r="A227">
        <v>226</v>
      </c>
      <c r="B227">
        <v>509914386</v>
      </c>
      <c r="C227" t="s">
        <v>34</v>
      </c>
      <c r="D227" t="s">
        <v>10</v>
      </c>
      <c r="E227" s="1">
        <v>41000</v>
      </c>
      <c r="F227">
        <f t="shared" si="3"/>
        <v>2</v>
      </c>
      <c r="G227" t="s">
        <v>54</v>
      </c>
      <c r="H227" t="s">
        <v>16</v>
      </c>
      <c r="I227">
        <v>3853</v>
      </c>
      <c r="J227">
        <v>212454.42</v>
      </c>
    </row>
    <row r="228" spans="1:10" x14ac:dyDescent="0.3">
      <c r="A228">
        <v>227</v>
      </c>
      <c r="B228">
        <v>371123158</v>
      </c>
      <c r="C228" t="s">
        <v>36</v>
      </c>
      <c r="D228" t="s">
        <v>14</v>
      </c>
      <c r="E228" s="1">
        <v>41640</v>
      </c>
      <c r="F228">
        <f t="shared" si="3"/>
        <v>1</v>
      </c>
      <c r="G228" t="s">
        <v>57</v>
      </c>
      <c r="H228" t="s">
        <v>16</v>
      </c>
      <c r="I228">
        <v>2445</v>
      </c>
      <c r="J228">
        <v>405209.85</v>
      </c>
    </row>
    <row r="229" spans="1:10" x14ac:dyDescent="0.3">
      <c r="A229">
        <v>228</v>
      </c>
      <c r="B229">
        <v>973208701</v>
      </c>
      <c r="C229" t="s">
        <v>36</v>
      </c>
      <c r="D229" t="s">
        <v>14</v>
      </c>
      <c r="E229" s="1">
        <v>42705</v>
      </c>
      <c r="F229">
        <f t="shared" si="3"/>
        <v>4</v>
      </c>
      <c r="G229" t="s">
        <v>56</v>
      </c>
      <c r="H229" t="s">
        <v>19</v>
      </c>
      <c r="I229">
        <v>2936</v>
      </c>
      <c r="J229">
        <v>486583.28</v>
      </c>
    </row>
    <row r="230" spans="1:10" x14ac:dyDescent="0.3">
      <c r="A230">
        <v>229</v>
      </c>
      <c r="B230">
        <v>780282342</v>
      </c>
      <c r="C230" t="s">
        <v>17</v>
      </c>
      <c r="D230" t="s">
        <v>14</v>
      </c>
      <c r="E230" s="1">
        <v>41579</v>
      </c>
      <c r="F230">
        <f t="shared" si="3"/>
        <v>4</v>
      </c>
      <c r="G230" t="s">
        <v>53</v>
      </c>
      <c r="H230" t="s">
        <v>16</v>
      </c>
      <c r="I230">
        <v>1739</v>
      </c>
      <c r="J230">
        <v>166700.54</v>
      </c>
    </row>
    <row r="231" spans="1:10" x14ac:dyDescent="0.3">
      <c r="A231">
        <v>230</v>
      </c>
      <c r="B231">
        <v>126767909</v>
      </c>
      <c r="C231" t="s">
        <v>30</v>
      </c>
      <c r="D231" t="s">
        <v>14</v>
      </c>
      <c r="E231" s="1">
        <v>40269</v>
      </c>
      <c r="F231">
        <f t="shared" si="3"/>
        <v>2</v>
      </c>
      <c r="G231" t="s">
        <v>21</v>
      </c>
      <c r="H231" t="s">
        <v>19</v>
      </c>
      <c r="I231">
        <v>2296</v>
      </c>
      <c r="J231">
        <v>168618.23999999999</v>
      </c>
    </row>
    <row r="232" spans="1:10" x14ac:dyDescent="0.3">
      <c r="A232">
        <v>231</v>
      </c>
      <c r="B232">
        <v>767401731</v>
      </c>
      <c r="C232" t="s">
        <v>17</v>
      </c>
      <c r="D232" t="s">
        <v>14</v>
      </c>
      <c r="E232" s="1">
        <v>41091</v>
      </c>
      <c r="F232">
        <f t="shared" si="3"/>
        <v>3</v>
      </c>
      <c r="G232" t="s">
        <v>35</v>
      </c>
      <c r="H232" t="s">
        <v>19</v>
      </c>
      <c r="I232">
        <v>80</v>
      </c>
      <c r="J232">
        <v>7668.8</v>
      </c>
    </row>
    <row r="233" spans="1:10" x14ac:dyDescent="0.3">
      <c r="A233">
        <v>232</v>
      </c>
      <c r="B233">
        <v>927232635</v>
      </c>
      <c r="C233" t="s">
        <v>43</v>
      </c>
      <c r="D233" t="s">
        <v>14</v>
      </c>
      <c r="E233" s="1">
        <v>42644</v>
      </c>
      <c r="F233">
        <f t="shared" si="3"/>
        <v>4</v>
      </c>
      <c r="G233" t="s">
        <v>18</v>
      </c>
      <c r="H233" t="s">
        <v>19</v>
      </c>
      <c r="I233">
        <v>7597</v>
      </c>
      <c r="J233">
        <v>190380.82</v>
      </c>
    </row>
    <row r="234" spans="1:10" x14ac:dyDescent="0.3">
      <c r="A234">
        <v>233</v>
      </c>
      <c r="B234">
        <v>251621949</v>
      </c>
      <c r="C234" t="s">
        <v>47</v>
      </c>
      <c r="D234" t="s">
        <v>10</v>
      </c>
      <c r="E234" s="1">
        <v>41153</v>
      </c>
      <c r="F234">
        <f t="shared" si="3"/>
        <v>3</v>
      </c>
      <c r="G234" t="s">
        <v>35</v>
      </c>
      <c r="H234" t="s">
        <v>19</v>
      </c>
      <c r="I234">
        <v>9381</v>
      </c>
      <c r="J234">
        <v>536593.19999999995</v>
      </c>
    </row>
    <row r="235" spans="1:10" x14ac:dyDescent="0.3">
      <c r="A235">
        <v>234</v>
      </c>
      <c r="B235">
        <v>256243503</v>
      </c>
      <c r="C235" t="s">
        <v>40</v>
      </c>
      <c r="D235" t="s">
        <v>10</v>
      </c>
      <c r="E235" s="1">
        <v>42917</v>
      </c>
      <c r="F235">
        <f t="shared" si="3"/>
        <v>3</v>
      </c>
      <c r="G235" t="s">
        <v>25</v>
      </c>
      <c r="H235" t="s">
        <v>26</v>
      </c>
      <c r="I235">
        <v>7002</v>
      </c>
      <c r="J235">
        <v>884002.5</v>
      </c>
    </row>
    <row r="236" spans="1:10" x14ac:dyDescent="0.3">
      <c r="A236">
        <v>235</v>
      </c>
      <c r="B236">
        <v>277083623</v>
      </c>
      <c r="C236" t="s">
        <v>9</v>
      </c>
      <c r="D236" t="s">
        <v>10</v>
      </c>
      <c r="E236" s="1">
        <v>40725</v>
      </c>
      <c r="F236">
        <f t="shared" si="3"/>
        <v>3</v>
      </c>
      <c r="G236" t="s">
        <v>18</v>
      </c>
      <c r="H236" t="s">
        <v>19</v>
      </c>
      <c r="I236">
        <v>4056</v>
      </c>
      <c r="J236">
        <v>705216.72</v>
      </c>
    </row>
    <row r="237" spans="1:10" x14ac:dyDescent="0.3">
      <c r="A237">
        <v>236</v>
      </c>
      <c r="B237">
        <v>620441138</v>
      </c>
      <c r="C237" t="s">
        <v>13</v>
      </c>
      <c r="D237" t="s">
        <v>10</v>
      </c>
      <c r="E237" s="1">
        <v>40330</v>
      </c>
      <c r="F237">
        <f t="shared" si="3"/>
        <v>2</v>
      </c>
      <c r="G237" t="s">
        <v>58</v>
      </c>
      <c r="H237" t="s">
        <v>26</v>
      </c>
      <c r="I237">
        <v>1175</v>
      </c>
      <c r="J237">
        <v>74177.75</v>
      </c>
    </row>
    <row r="238" spans="1:10" x14ac:dyDescent="0.3">
      <c r="A238">
        <v>237</v>
      </c>
      <c r="B238">
        <v>312927377</v>
      </c>
      <c r="C238" t="s">
        <v>40</v>
      </c>
      <c r="D238" t="s">
        <v>10</v>
      </c>
      <c r="E238" s="1">
        <v>42186</v>
      </c>
      <c r="F238">
        <f t="shared" si="3"/>
        <v>3</v>
      </c>
      <c r="G238" t="s">
        <v>42</v>
      </c>
      <c r="H238" t="s">
        <v>26</v>
      </c>
      <c r="I238">
        <v>1020</v>
      </c>
      <c r="J238">
        <v>128775</v>
      </c>
    </row>
    <row r="239" spans="1:10" x14ac:dyDescent="0.3">
      <c r="A239">
        <v>238</v>
      </c>
      <c r="B239">
        <v>251466166</v>
      </c>
      <c r="C239" t="s">
        <v>17</v>
      </c>
      <c r="D239" t="s">
        <v>10</v>
      </c>
      <c r="E239" s="1">
        <v>40391</v>
      </c>
      <c r="F239">
        <f t="shared" si="3"/>
        <v>3</v>
      </c>
      <c r="G239" t="s">
        <v>37</v>
      </c>
      <c r="H239" t="s">
        <v>26</v>
      </c>
      <c r="I239">
        <v>3282</v>
      </c>
      <c r="J239">
        <v>314612.52</v>
      </c>
    </row>
    <row r="240" spans="1:10" x14ac:dyDescent="0.3">
      <c r="A240">
        <v>239</v>
      </c>
      <c r="B240">
        <v>953293836</v>
      </c>
      <c r="C240" t="s">
        <v>40</v>
      </c>
      <c r="D240" t="s">
        <v>14</v>
      </c>
      <c r="E240" s="1">
        <v>40330</v>
      </c>
      <c r="F240">
        <f t="shared" si="3"/>
        <v>2</v>
      </c>
      <c r="G240" t="s">
        <v>31</v>
      </c>
      <c r="H240" t="s">
        <v>19</v>
      </c>
      <c r="I240">
        <v>9685</v>
      </c>
      <c r="J240">
        <v>1222731.25</v>
      </c>
    </row>
    <row r="241" spans="1:10" x14ac:dyDescent="0.3">
      <c r="A241">
        <v>240</v>
      </c>
      <c r="B241">
        <v>305959212</v>
      </c>
      <c r="C241" t="s">
        <v>20</v>
      </c>
      <c r="D241" t="s">
        <v>14</v>
      </c>
      <c r="E241" s="1">
        <v>41000</v>
      </c>
      <c r="F241">
        <f t="shared" si="3"/>
        <v>2</v>
      </c>
      <c r="G241" t="s">
        <v>15</v>
      </c>
      <c r="H241" t="s">
        <v>16</v>
      </c>
      <c r="I241">
        <v>8985</v>
      </c>
      <c r="J241">
        <v>795981.15</v>
      </c>
    </row>
    <row r="242" spans="1:10" x14ac:dyDescent="0.3">
      <c r="A242">
        <v>241</v>
      </c>
      <c r="B242">
        <v>317323625</v>
      </c>
      <c r="C242" t="s">
        <v>20</v>
      </c>
      <c r="D242" t="s">
        <v>14</v>
      </c>
      <c r="E242" s="1">
        <v>41671</v>
      </c>
      <c r="F242">
        <f t="shared" si="3"/>
        <v>1</v>
      </c>
      <c r="G242" t="s">
        <v>21</v>
      </c>
      <c r="H242" t="s">
        <v>19</v>
      </c>
      <c r="I242">
        <v>1967</v>
      </c>
      <c r="J242">
        <v>174256.53</v>
      </c>
    </row>
    <row r="243" spans="1:10" x14ac:dyDescent="0.3">
      <c r="A243">
        <v>242</v>
      </c>
      <c r="B243">
        <v>365560901</v>
      </c>
      <c r="C243" t="s">
        <v>36</v>
      </c>
      <c r="D243" t="s">
        <v>10</v>
      </c>
      <c r="E243" s="1">
        <v>40725</v>
      </c>
      <c r="F243">
        <f t="shared" si="3"/>
        <v>3</v>
      </c>
      <c r="G243" t="s">
        <v>49</v>
      </c>
      <c r="H243" t="s">
        <v>19</v>
      </c>
      <c r="I243">
        <v>6449</v>
      </c>
      <c r="J243">
        <v>1068792.77</v>
      </c>
    </row>
    <row r="244" spans="1:10" x14ac:dyDescent="0.3">
      <c r="A244">
        <v>243</v>
      </c>
      <c r="B244">
        <v>349157369</v>
      </c>
      <c r="C244" t="s">
        <v>17</v>
      </c>
      <c r="D244" t="s">
        <v>14</v>
      </c>
      <c r="E244" s="1">
        <v>42401</v>
      </c>
      <c r="F244">
        <f t="shared" si="3"/>
        <v>1</v>
      </c>
      <c r="G244" t="s">
        <v>57</v>
      </c>
      <c r="H244" t="s">
        <v>16</v>
      </c>
      <c r="I244">
        <v>2279</v>
      </c>
      <c r="J244">
        <v>218464.94</v>
      </c>
    </row>
    <row r="245" spans="1:10" x14ac:dyDescent="0.3">
      <c r="A245">
        <v>244</v>
      </c>
      <c r="B245">
        <v>236911857</v>
      </c>
      <c r="C245" t="s">
        <v>17</v>
      </c>
      <c r="D245" t="s">
        <v>14</v>
      </c>
      <c r="E245" s="1">
        <v>41640</v>
      </c>
      <c r="F245">
        <f t="shared" si="3"/>
        <v>1</v>
      </c>
      <c r="G245" t="s">
        <v>55</v>
      </c>
      <c r="H245" t="s">
        <v>26</v>
      </c>
      <c r="I245">
        <v>6338</v>
      </c>
      <c r="J245">
        <v>607560.68000000005</v>
      </c>
    </row>
    <row r="246" spans="1:10" x14ac:dyDescent="0.3">
      <c r="A246">
        <v>245</v>
      </c>
      <c r="B246">
        <v>517935693</v>
      </c>
      <c r="C246" t="s">
        <v>43</v>
      </c>
      <c r="D246" t="s">
        <v>10</v>
      </c>
      <c r="E246" s="1">
        <v>42125</v>
      </c>
      <c r="F246">
        <f t="shared" si="3"/>
        <v>2</v>
      </c>
      <c r="G246" t="s">
        <v>39</v>
      </c>
      <c r="H246" t="s">
        <v>28</v>
      </c>
      <c r="I246">
        <v>7536</v>
      </c>
      <c r="J246">
        <v>188852.16</v>
      </c>
    </row>
    <row r="247" spans="1:10" x14ac:dyDescent="0.3">
      <c r="A247">
        <v>246</v>
      </c>
      <c r="B247">
        <v>851652705</v>
      </c>
      <c r="C247" t="s">
        <v>30</v>
      </c>
      <c r="D247" t="s">
        <v>10</v>
      </c>
      <c r="E247" s="1">
        <v>40940</v>
      </c>
      <c r="F247">
        <f t="shared" si="3"/>
        <v>1</v>
      </c>
      <c r="G247" t="s">
        <v>54</v>
      </c>
      <c r="H247" t="s">
        <v>16</v>
      </c>
      <c r="I247">
        <v>1816</v>
      </c>
      <c r="J247">
        <v>133367.04000000001</v>
      </c>
    </row>
    <row r="248" spans="1:10" x14ac:dyDescent="0.3">
      <c r="A248">
        <v>247</v>
      </c>
      <c r="B248">
        <v>517799222</v>
      </c>
      <c r="C248" t="s">
        <v>20</v>
      </c>
      <c r="D248" t="s">
        <v>10</v>
      </c>
      <c r="E248" s="1">
        <v>41153</v>
      </c>
      <c r="F248">
        <f t="shared" si="3"/>
        <v>3</v>
      </c>
      <c r="G248" t="s">
        <v>56</v>
      </c>
      <c r="H248" t="s">
        <v>19</v>
      </c>
      <c r="I248">
        <v>7151</v>
      </c>
      <c r="J248">
        <v>633507.09</v>
      </c>
    </row>
    <row r="249" spans="1:10" x14ac:dyDescent="0.3">
      <c r="A249">
        <v>248</v>
      </c>
      <c r="B249">
        <v>666424071</v>
      </c>
      <c r="C249" t="s">
        <v>40</v>
      </c>
      <c r="D249" t="s">
        <v>10</v>
      </c>
      <c r="E249" s="1">
        <v>42036</v>
      </c>
      <c r="F249">
        <f t="shared" si="3"/>
        <v>1</v>
      </c>
      <c r="G249" t="s">
        <v>33</v>
      </c>
      <c r="H249" t="s">
        <v>12</v>
      </c>
      <c r="I249">
        <v>8547</v>
      </c>
      <c r="J249">
        <v>1079058.75</v>
      </c>
    </row>
    <row r="250" spans="1:10" x14ac:dyDescent="0.3">
      <c r="A250">
        <v>249</v>
      </c>
      <c r="B250">
        <v>267888581</v>
      </c>
      <c r="C250" t="s">
        <v>24</v>
      </c>
      <c r="D250" t="s">
        <v>10</v>
      </c>
      <c r="E250" s="1">
        <v>40483</v>
      </c>
      <c r="F250">
        <f t="shared" si="3"/>
        <v>4</v>
      </c>
      <c r="G250" t="s">
        <v>27</v>
      </c>
      <c r="H250" t="s">
        <v>28</v>
      </c>
      <c r="I250">
        <v>3039</v>
      </c>
      <c r="J250">
        <v>7323.99</v>
      </c>
    </row>
    <row r="251" spans="1:10" x14ac:dyDescent="0.3">
      <c r="A251">
        <v>250</v>
      </c>
      <c r="B251">
        <v>162866580</v>
      </c>
      <c r="C251" t="s">
        <v>13</v>
      </c>
      <c r="D251" t="s">
        <v>14</v>
      </c>
      <c r="E251" s="1">
        <v>40725</v>
      </c>
      <c r="F251">
        <f t="shared" si="3"/>
        <v>3</v>
      </c>
      <c r="G251" t="s">
        <v>11</v>
      </c>
      <c r="H251" t="s">
        <v>12</v>
      </c>
      <c r="I251">
        <v>4695</v>
      </c>
      <c r="J251">
        <v>296395.34999999998</v>
      </c>
    </row>
    <row r="252" spans="1:10" x14ac:dyDescent="0.3">
      <c r="A252">
        <v>251</v>
      </c>
      <c r="B252">
        <v>812344396</v>
      </c>
      <c r="C252" t="s">
        <v>41</v>
      </c>
      <c r="D252" t="s">
        <v>10</v>
      </c>
      <c r="E252" s="1">
        <v>41821</v>
      </c>
      <c r="F252">
        <f t="shared" si="3"/>
        <v>3</v>
      </c>
      <c r="G252" t="s">
        <v>59</v>
      </c>
      <c r="H252" t="s">
        <v>19</v>
      </c>
      <c r="I252">
        <v>9614</v>
      </c>
      <c r="J252">
        <v>150555.24</v>
      </c>
    </row>
    <row r="253" spans="1:10" x14ac:dyDescent="0.3">
      <c r="A253">
        <v>252</v>
      </c>
      <c r="B253">
        <v>947620856</v>
      </c>
      <c r="C253" t="s">
        <v>47</v>
      </c>
      <c r="D253" t="s">
        <v>14</v>
      </c>
      <c r="E253" s="1">
        <v>41852</v>
      </c>
      <c r="F253">
        <f t="shared" si="3"/>
        <v>3</v>
      </c>
      <c r="G253" t="s">
        <v>45</v>
      </c>
      <c r="H253" t="s">
        <v>12</v>
      </c>
      <c r="I253">
        <v>924</v>
      </c>
      <c r="J253">
        <v>52852.800000000003</v>
      </c>
    </row>
    <row r="254" spans="1:10" x14ac:dyDescent="0.3">
      <c r="A254">
        <v>253</v>
      </c>
      <c r="B254">
        <v>720307290</v>
      </c>
      <c r="C254" t="s">
        <v>13</v>
      </c>
      <c r="D254" t="s">
        <v>14</v>
      </c>
      <c r="E254" s="1">
        <v>42036</v>
      </c>
      <c r="F254">
        <f t="shared" si="3"/>
        <v>1</v>
      </c>
      <c r="G254" t="s">
        <v>54</v>
      </c>
      <c r="H254" t="s">
        <v>16</v>
      </c>
      <c r="I254">
        <v>3789</v>
      </c>
      <c r="J254">
        <v>239199.57</v>
      </c>
    </row>
    <row r="255" spans="1:10" x14ac:dyDescent="0.3">
      <c r="A255">
        <v>254</v>
      </c>
      <c r="B255">
        <v>352327525</v>
      </c>
      <c r="C255" t="s">
        <v>36</v>
      </c>
      <c r="D255" t="s">
        <v>14</v>
      </c>
      <c r="E255" s="1">
        <v>42614</v>
      </c>
      <c r="F255">
        <f t="shared" si="3"/>
        <v>3</v>
      </c>
      <c r="G255" t="s">
        <v>53</v>
      </c>
      <c r="H255" t="s">
        <v>16</v>
      </c>
      <c r="I255">
        <v>399</v>
      </c>
      <c r="J255">
        <v>66126.27</v>
      </c>
    </row>
    <row r="256" spans="1:10" x14ac:dyDescent="0.3">
      <c r="A256">
        <v>255</v>
      </c>
      <c r="B256">
        <v>585917890</v>
      </c>
      <c r="C256" t="s">
        <v>36</v>
      </c>
      <c r="D256" t="s">
        <v>14</v>
      </c>
      <c r="E256" s="1">
        <v>41426</v>
      </c>
      <c r="F256">
        <f t="shared" si="3"/>
        <v>2</v>
      </c>
      <c r="G256" t="s">
        <v>54</v>
      </c>
      <c r="H256" t="s">
        <v>16</v>
      </c>
      <c r="I256">
        <v>4979</v>
      </c>
      <c r="J256">
        <v>825169.67</v>
      </c>
    </row>
    <row r="257" spans="1:10" x14ac:dyDescent="0.3">
      <c r="A257">
        <v>256</v>
      </c>
      <c r="B257">
        <v>433627212</v>
      </c>
      <c r="C257" t="s">
        <v>47</v>
      </c>
      <c r="D257" t="s">
        <v>10</v>
      </c>
      <c r="E257" s="1">
        <v>40909</v>
      </c>
      <c r="F257">
        <f t="shared" si="3"/>
        <v>1</v>
      </c>
      <c r="G257" t="s">
        <v>44</v>
      </c>
      <c r="H257" t="s">
        <v>26</v>
      </c>
      <c r="I257">
        <v>8783</v>
      </c>
      <c r="J257">
        <v>502387.6</v>
      </c>
    </row>
    <row r="258" spans="1:10" x14ac:dyDescent="0.3">
      <c r="A258">
        <v>257</v>
      </c>
      <c r="B258">
        <v>328316819</v>
      </c>
      <c r="C258" t="s">
        <v>41</v>
      </c>
      <c r="D258" t="s">
        <v>14</v>
      </c>
      <c r="E258" s="1">
        <v>41030</v>
      </c>
      <c r="F258">
        <f t="shared" ref="F258:F321" si="4">ROUNDUP(MONTH(E258)/3,0)</f>
        <v>2</v>
      </c>
      <c r="G258" t="s">
        <v>48</v>
      </c>
      <c r="H258" t="s">
        <v>16</v>
      </c>
      <c r="I258">
        <v>5098</v>
      </c>
      <c r="J258">
        <v>79834.679999999993</v>
      </c>
    </row>
    <row r="259" spans="1:10" x14ac:dyDescent="0.3">
      <c r="A259">
        <v>258</v>
      </c>
      <c r="B259">
        <v>773160541</v>
      </c>
      <c r="C259" t="s">
        <v>20</v>
      </c>
      <c r="D259" t="s">
        <v>10</v>
      </c>
      <c r="E259" s="1">
        <v>40817</v>
      </c>
      <c r="F259">
        <f t="shared" si="4"/>
        <v>4</v>
      </c>
      <c r="G259" t="s">
        <v>35</v>
      </c>
      <c r="H259" t="s">
        <v>19</v>
      </c>
      <c r="I259">
        <v>4240</v>
      </c>
      <c r="J259">
        <v>375621.6</v>
      </c>
    </row>
    <row r="260" spans="1:10" x14ac:dyDescent="0.3">
      <c r="A260">
        <v>259</v>
      </c>
      <c r="B260">
        <v>991644704</v>
      </c>
      <c r="C260" t="s">
        <v>36</v>
      </c>
      <c r="D260" t="s">
        <v>14</v>
      </c>
      <c r="E260" s="1">
        <v>42461</v>
      </c>
      <c r="F260">
        <f t="shared" si="4"/>
        <v>2</v>
      </c>
      <c r="G260" t="s">
        <v>58</v>
      </c>
      <c r="H260" t="s">
        <v>26</v>
      </c>
      <c r="I260">
        <v>8559</v>
      </c>
      <c r="J260">
        <v>1418483.07</v>
      </c>
    </row>
    <row r="261" spans="1:10" x14ac:dyDescent="0.3">
      <c r="A261">
        <v>260</v>
      </c>
      <c r="B261">
        <v>277568137</v>
      </c>
      <c r="C261" t="s">
        <v>47</v>
      </c>
      <c r="D261" t="s">
        <v>14</v>
      </c>
      <c r="E261" s="1">
        <v>41640</v>
      </c>
      <c r="F261">
        <f t="shared" si="4"/>
        <v>1</v>
      </c>
      <c r="G261" t="s">
        <v>50</v>
      </c>
      <c r="H261" t="s">
        <v>16</v>
      </c>
      <c r="I261">
        <v>7435</v>
      </c>
      <c r="J261">
        <v>425282</v>
      </c>
    </row>
    <row r="262" spans="1:10" x14ac:dyDescent="0.3">
      <c r="A262">
        <v>261</v>
      </c>
      <c r="B262">
        <v>245042169</v>
      </c>
      <c r="C262" t="s">
        <v>24</v>
      </c>
      <c r="D262" t="s">
        <v>14</v>
      </c>
      <c r="E262" s="1">
        <v>42675</v>
      </c>
      <c r="F262">
        <f t="shared" si="4"/>
        <v>4</v>
      </c>
      <c r="G262" t="s">
        <v>25</v>
      </c>
      <c r="H262" t="s">
        <v>26</v>
      </c>
      <c r="I262">
        <v>2278</v>
      </c>
      <c r="J262">
        <v>5489.98</v>
      </c>
    </row>
    <row r="263" spans="1:10" x14ac:dyDescent="0.3">
      <c r="A263">
        <v>262</v>
      </c>
      <c r="B263">
        <v>778490626</v>
      </c>
      <c r="C263" t="s">
        <v>36</v>
      </c>
      <c r="D263" t="s">
        <v>14</v>
      </c>
      <c r="E263" s="1">
        <v>40575</v>
      </c>
      <c r="F263">
        <f t="shared" si="4"/>
        <v>1</v>
      </c>
      <c r="G263" t="s">
        <v>56</v>
      </c>
      <c r="H263" t="s">
        <v>19</v>
      </c>
      <c r="I263">
        <v>1531</v>
      </c>
      <c r="J263">
        <v>253732.63</v>
      </c>
    </row>
    <row r="264" spans="1:10" x14ac:dyDescent="0.3">
      <c r="A264">
        <v>263</v>
      </c>
      <c r="B264">
        <v>482649838</v>
      </c>
      <c r="C264" t="s">
        <v>17</v>
      </c>
      <c r="D264" t="s">
        <v>14</v>
      </c>
      <c r="E264" s="1">
        <v>41913</v>
      </c>
      <c r="F264">
        <f t="shared" si="4"/>
        <v>4</v>
      </c>
      <c r="G264" t="s">
        <v>39</v>
      </c>
      <c r="H264" t="s">
        <v>28</v>
      </c>
      <c r="I264">
        <v>5668</v>
      </c>
      <c r="J264">
        <v>543334.48</v>
      </c>
    </row>
    <row r="265" spans="1:10" x14ac:dyDescent="0.3">
      <c r="A265">
        <v>264</v>
      </c>
      <c r="B265">
        <v>732568633</v>
      </c>
      <c r="C265" t="s">
        <v>41</v>
      </c>
      <c r="D265" t="s">
        <v>14</v>
      </c>
      <c r="E265" s="1">
        <v>41061</v>
      </c>
      <c r="F265">
        <f t="shared" si="4"/>
        <v>2</v>
      </c>
      <c r="G265" t="s">
        <v>39</v>
      </c>
      <c r="H265" t="s">
        <v>28</v>
      </c>
      <c r="I265">
        <v>2193</v>
      </c>
      <c r="J265">
        <v>34342.379999999997</v>
      </c>
    </row>
    <row r="266" spans="1:10" x14ac:dyDescent="0.3">
      <c r="A266">
        <v>265</v>
      </c>
      <c r="B266">
        <v>723608338</v>
      </c>
      <c r="C266" t="s">
        <v>36</v>
      </c>
      <c r="D266" t="s">
        <v>14</v>
      </c>
      <c r="E266" s="1">
        <v>41214</v>
      </c>
      <c r="F266">
        <f t="shared" si="4"/>
        <v>4</v>
      </c>
      <c r="G266" t="s">
        <v>51</v>
      </c>
      <c r="H266" t="s">
        <v>26</v>
      </c>
      <c r="I266">
        <v>642</v>
      </c>
      <c r="J266">
        <v>106398.66</v>
      </c>
    </row>
    <row r="267" spans="1:10" x14ac:dyDescent="0.3">
      <c r="A267">
        <v>266</v>
      </c>
      <c r="B267">
        <v>621442782</v>
      </c>
      <c r="C267" t="s">
        <v>36</v>
      </c>
      <c r="D267" t="s">
        <v>10</v>
      </c>
      <c r="E267" s="1">
        <v>41671</v>
      </c>
      <c r="F267">
        <f t="shared" si="4"/>
        <v>1</v>
      </c>
      <c r="G267" t="s">
        <v>51</v>
      </c>
      <c r="H267" t="s">
        <v>26</v>
      </c>
      <c r="I267">
        <v>7584</v>
      </c>
      <c r="J267">
        <v>1256896.32</v>
      </c>
    </row>
    <row r="268" spans="1:10" x14ac:dyDescent="0.3">
      <c r="A268">
        <v>267</v>
      </c>
      <c r="B268">
        <v>212058293</v>
      </c>
      <c r="C268" t="s">
        <v>17</v>
      </c>
      <c r="D268" t="s">
        <v>10</v>
      </c>
      <c r="E268" s="1">
        <v>42248</v>
      </c>
      <c r="F268">
        <f t="shared" si="4"/>
        <v>3</v>
      </c>
      <c r="G268" t="s">
        <v>57</v>
      </c>
      <c r="H268" t="s">
        <v>16</v>
      </c>
      <c r="I268">
        <v>1616</v>
      </c>
      <c r="J268">
        <v>154909.76000000001</v>
      </c>
    </row>
    <row r="269" spans="1:10" x14ac:dyDescent="0.3">
      <c r="A269">
        <v>268</v>
      </c>
      <c r="B269">
        <v>251753699</v>
      </c>
      <c r="C269" t="s">
        <v>34</v>
      </c>
      <c r="D269" t="s">
        <v>10</v>
      </c>
      <c r="E269" s="1">
        <v>41699</v>
      </c>
      <c r="F269">
        <f t="shared" si="4"/>
        <v>1</v>
      </c>
      <c r="G269" t="s">
        <v>44</v>
      </c>
      <c r="H269" t="s">
        <v>26</v>
      </c>
      <c r="I269">
        <v>8369</v>
      </c>
      <c r="J269">
        <v>461466.66</v>
      </c>
    </row>
    <row r="270" spans="1:10" x14ac:dyDescent="0.3">
      <c r="A270">
        <v>269</v>
      </c>
      <c r="B270">
        <v>217140328</v>
      </c>
      <c r="C270" t="s">
        <v>24</v>
      </c>
      <c r="D270" t="s">
        <v>14</v>
      </c>
      <c r="E270" s="1">
        <v>41913</v>
      </c>
      <c r="F270">
        <f t="shared" si="4"/>
        <v>4</v>
      </c>
      <c r="G270" t="s">
        <v>11</v>
      </c>
      <c r="H270" t="s">
        <v>12</v>
      </c>
      <c r="I270">
        <v>5503</v>
      </c>
      <c r="J270">
        <v>13262.23</v>
      </c>
    </row>
    <row r="271" spans="1:10" x14ac:dyDescent="0.3">
      <c r="A271">
        <v>270</v>
      </c>
      <c r="B271">
        <v>555142009</v>
      </c>
      <c r="C271" t="s">
        <v>13</v>
      </c>
      <c r="D271" t="s">
        <v>14</v>
      </c>
      <c r="E271" s="1">
        <v>41061</v>
      </c>
      <c r="F271">
        <f t="shared" si="4"/>
        <v>2</v>
      </c>
      <c r="G271" t="s">
        <v>33</v>
      </c>
      <c r="H271" t="s">
        <v>12</v>
      </c>
      <c r="I271">
        <v>7712</v>
      </c>
      <c r="J271">
        <v>486858.56</v>
      </c>
    </row>
    <row r="272" spans="1:10" x14ac:dyDescent="0.3">
      <c r="A272">
        <v>271</v>
      </c>
      <c r="B272">
        <v>432995069</v>
      </c>
      <c r="C272" t="s">
        <v>30</v>
      </c>
      <c r="D272" t="s">
        <v>14</v>
      </c>
      <c r="E272" s="1">
        <v>40483</v>
      </c>
      <c r="F272">
        <f t="shared" si="4"/>
        <v>4</v>
      </c>
      <c r="G272" t="s">
        <v>15</v>
      </c>
      <c r="H272" t="s">
        <v>16</v>
      </c>
      <c r="I272">
        <v>1718</v>
      </c>
      <c r="J272">
        <v>126169.92</v>
      </c>
    </row>
    <row r="273" spans="1:10" x14ac:dyDescent="0.3">
      <c r="A273">
        <v>272</v>
      </c>
      <c r="B273">
        <v>888248336</v>
      </c>
      <c r="C273" t="s">
        <v>43</v>
      </c>
      <c r="D273" t="s">
        <v>10</v>
      </c>
      <c r="E273" s="1">
        <v>40483</v>
      </c>
      <c r="F273">
        <f t="shared" si="4"/>
        <v>4</v>
      </c>
      <c r="G273" t="s">
        <v>49</v>
      </c>
      <c r="H273" t="s">
        <v>19</v>
      </c>
      <c r="I273">
        <v>1276</v>
      </c>
      <c r="J273">
        <v>31976.560000000001</v>
      </c>
    </row>
    <row r="274" spans="1:10" x14ac:dyDescent="0.3">
      <c r="A274">
        <v>273</v>
      </c>
      <c r="B274">
        <v>778763139</v>
      </c>
      <c r="C274" t="s">
        <v>13</v>
      </c>
      <c r="D274" t="s">
        <v>14</v>
      </c>
      <c r="E274" s="1">
        <v>41730</v>
      </c>
      <c r="F274">
        <f t="shared" si="4"/>
        <v>2</v>
      </c>
      <c r="G274" t="s">
        <v>58</v>
      </c>
      <c r="H274" t="s">
        <v>26</v>
      </c>
      <c r="I274">
        <v>2173</v>
      </c>
      <c r="J274">
        <v>137181.49</v>
      </c>
    </row>
    <row r="275" spans="1:10" x14ac:dyDescent="0.3">
      <c r="A275">
        <v>274</v>
      </c>
      <c r="B275">
        <v>832713305</v>
      </c>
      <c r="C275" t="s">
        <v>34</v>
      </c>
      <c r="D275" t="s">
        <v>10</v>
      </c>
      <c r="E275" s="1">
        <v>41244</v>
      </c>
      <c r="F275">
        <f t="shared" si="4"/>
        <v>4</v>
      </c>
      <c r="G275" t="s">
        <v>33</v>
      </c>
      <c r="H275" t="s">
        <v>12</v>
      </c>
      <c r="I275">
        <v>7227</v>
      </c>
      <c r="J275">
        <v>398496.78</v>
      </c>
    </row>
    <row r="276" spans="1:10" x14ac:dyDescent="0.3">
      <c r="A276">
        <v>275</v>
      </c>
      <c r="B276">
        <v>498585164</v>
      </c>
      <c r="C276" t="s">
        <v>36</v>
      </c>
      <c r="D276" t="s">
        <v>10</v>
      </c>
      <c r="E276" s="1">
        <v>41852</v>
      </c>
      <c r="F276">
        <f t="shared" si="4"/>
        <v>3</v>
      </c>
      <c r="G276" t="s">
        <v>48</v>
      </c>
      <c r="H276" t="s">
        <v>16</v>
      </c>
      <c r="I276">
        <v>1285</v>
      </c>
      <c r="J276">
        <v>212963.05</v>
      </c>
    </row>
    <row r="277" spans="1:10" x14ac:dyDescent="0.3">
      <c r="A277">
        <v>276</v>
      </c>
      <c r="B277">
        <v>195177543</v>
      </c>
      <c r="C277" t="s">
        <v>24</v>
      </c>
      <c r="D277" t="s">
        <v>10</v>
      </c>
      <c r="E277" s="1">
        <v>42675</v>
      </c>
      <c r="F277">
        <f t="shared" si="4"/>
        <v>4</v>
      </c>
      <c r="G277" t="s">
        <v>50</v>
      </c>
      <c r="H277" t="s">
        <v>16</v>
      </c>
      <c r="I277">
        <v>6227</v>
      </c>
      <c r="J277">
        <v>15007.07</v>
      </c>
    </row>
    <row r="278" spans="1:10" x14ac:dyDescent="0.3">
      <c r="A278">
        <v>277</v>
      </c>
      <c r="B278">
        <v>861601769</v>
      </c>
      <c r="C278" t="s">
        <v>20</v>
      </c>
      <c r="D278" t="s">
        <v>14</v>
      </c>
      <c r="E278" s="1">
        <v>40452</v>
      </c>
      <c r="F278">
        <f t="shared" si="4"/>
        <v>4</v>
      </c>
      <c r="G278" t="s">
        <v>57</v>
      </c>
      <c r="H278" t="s">
        <v>16</v>
      </c>
      <c r="I278">
        <v>5965</v>
      </c>
      <c r="J278">
        <v>528439.35</v>
      </c>
    </row>
    <row r="279" spans="1:10" x14ac:dyDescent="0.3">
      <c r="A279">
        <v>278</v>
      </c>
      <c r="B279">
        <v>807281672</v>
      </c>
      <c r="C279" t="s">
        <v>47</v>
      </c>
      <c r="D279" t="s">
        <v>14</v>
      </c>
      <c r="E279" s="1">
        <v>41974</v>
      </c>
      <c r="F279">
        <f t="shared" si="4"/>
        <v>4</v>
      </c>
      <c r="G279" t="s">
        <v>27</v>
      </c>
      <c r="H279" t="s">
        <v>28</v>
      </c>
      <c r="I279">
        <v>1441</v>
      </c>
      <c r="J279">
        <v>82425.2</v>
      </c>
    </row>
    <row r="280" spans="1:10" x14ac:dyDescent="0.3">
      <c r="A280">
        <v>279</v>
      </c>
      <c r="B280">
        <v>661953580</v>
      </c>
      <c r="C280" t="s">
        <v>30</v>
      </c>
      <c r="D280" t="s">
        <v>10</v>
      </c>
      <c r="E280" s="1">
        <v>40603</v>
      </c>
      <c r="F280">
        <f t="shared" si="4"/>
        <v>1</v>
      </c>
      <c r="G280" t="s">
        <v>55</v>
      </c>
      <c r="H280" t="s">
        <v>26</v>
      </c>
      <c r="I280">
        <v>5629</v>
      </c>
      <c r="J280">
        <v>413393.76</v>
      </c>
    </row>
    <row r="281" spans="1:10" x14ac:dyDescent="0.3">
      <c r="A281">
        <v>280</v>
      </c>
      <c r="B281">
        <v>225666320</v>
      </c>
      <c r="C281" t="s">
        <v>9</v>
      </c>
      <c r="D281" t="s">
        <v>14</v>
      </c>
      <c r="E281" s="1">
        <v>42552</v>
      </c>
      <c r="F281">
        <f t="shared" si="4"/>
        <v>3</v>
      </c>
      <c r="G281" t="s">
        <v>37</v>
      </c>
      <c r="H281" t="s">
        <v>26</v>
      </c>
      <c r="I281">
        <v>8534</v>
      </c>
      <c r="J281">
        <v>1483806.58</v>
      </c>
    </row>
    <row r="282" spans="1:10" x14ac:dyDescent="0.3">
      <c r="A282">
        <v>281</v>
      </c>
      <c r="B282">
        <v>718781220</v>
      </c>
      <c r="C282" t="s">
        <v>36</v>
      </c>
      <c r="D282" t="s">
        <v>10</v>
      </c>
      <c r="E282" s="1">
        <v>40544</v>
      </c>
      <c r="F282">
        <f t="shared" si="4"/>
        <v>1</v>
      </c>
      <c r="G282" t="s">
        <v>35</v>
      </c>
      <c r="H282" t="s">
        <v>19</v>
      </c>
      <c r="I282">
        <v>2191</v>
      </c>
      <c r="J282">
        <v>363114.43</v>
      </c>
    </row>
    <row r="283" spans="1:10" x14ac:dyDescent="0.3">
      <c r="A283">
        <v>282</v>
      </c>
      <c r="B283">
        <v>731972110</v>
      </c>
      <c r="C283" t="s">
        <v>40</v>
      </c>
      <c r="D283" t="s">
        <v>14</v>
      </c>
      <c r="E283" s="1">
        <v>40210</v>
      </c>
      <c r="F283">
        <f t="shared" si="4"/>
        <v>1</v>
      </c>
      <c r="G283" t="s">
        <v>38</v>
      </c>
      <c r="H283" t="s">
        <v>16</v>
      </c>
      <c r="I283">
        <v>5668</v>
      </c>
      <c r="J283">
        <v>715585</v>
      </c>
    </row>
    <row r="284" spans="1:10" x14ac:dyDescent="0.3">
      <c r="A284">
        <v>283</v>
      </c>
      <c r="B284">
        <v>276225316</v>
      </c>
      <c r="C284" t="s">
        <v>13</v>
      </c>
      <c r="D284" t="s">
        <v>14</v>
      </c>
      <c r="E284" s="1">
        <v>42005</v>
      </c>
      <c r="F284">
        <f t="shared" si="4"/>
        <v>1</v>
      </c>
      <c r="G284" t="s">
        <v>55</v>
      </c>
      <c r="H284" t="s">
        <v>26</v>
      </c>
      <c r="I284">
        <v>64</v>
      </c>
      <c r="J284">
        <v>4040.32</v>
      </c>
    </row>
    <row r="285" spans="1:10" x14ac:dyDescent="0.3">
      <c r="A285">
        <v>284</v>
      </c>
      <c r="B285">
        <v>332839667</v>
      </c>
      <c r="C285" t="s">
        <v>40</v>
      </c>
      <c r="D285" t="s">
        <v>10</v>
      </c>
      <c r="E285" s="1">
        <v>42552</v>
      </c>
      <c r="F285">
        <f t="shared" si="4"/>
        <v>3</v>
      </c>
      <c r="G285" t="s">
        <v>33</v>
      </c>
      <c r="H285" t="s">
        <v>12</v>
      </c>
      <c r="I285">
        <v>3509</v>
      </c>
      <c r="J285">
        <v>443011.25</v>
      </c>
    </row>
    <row r="286" spans="1:10" x14ac:dyDescent="0.3">
      <c r="A286">
        <v>285</v>
      </c>
      <c r="B286">
        <v>603426492</v>
      </c>
      <c r="C286" t="s">
        <v>13</v>
      </c>
      <c r="D286" t="s">
        <v>14</v>
      </c>
      <c r="E286" s="1">
        <v>41791</v>
      </c>
      <c r="F286">
        <f t="shared" si="4"/>
        <v>2</v>
      </c>
      <c r="G286" t="s">
        <v>45</v>
      </c>
      <c r="H286" t="s">
        <v>12</v>
      </c>
      <c r="I286">
        <v>6163</v>
      </c>
      <c r="J286">
        <v>389070.19</v>
      </c>
    </row>
    <row r="287" spans="1:10" x14ac:dyDescent="0.3">
      <c r="A287">
        <v>286</v>
      </c>
      <c r="B287">
        <v>859909617</v>
      </c>
      <c r="C287" t="s">
        <v>41</v>
      </c>
      <c r="D287" t="s">
        <v>10</v>
      </c>
      <c r="E287" s="1">
        <v>41244</v>
      </c>
      <c r="F287">
        <f t="shared" si="4"/>
        <v>4</v>
      </c>
      <c r="G287" t="s">
        <v>18</v>
      </c>
      <c r="H287" t="s">
        <v>19</v>
      </c>
      <c r="I287">
        <v>5220</v>
      </c>
      <c r="J287">
        <v>81745.2</v>
      </c>
    </row>
    <row r="288" spans="1:10" x14ac:dyDescent="0.3">
      <c r="A288">
        <v>287</v>
      </c>
      <c r="B288">
        <v>494525372</v>
      </c>
      <c r="C288" t="s">
        <v>36</v>
      </c>
      <c r="D288" t="s">
        <v>14</v>
      </c>
      <c r="E288" s="1">
        <v>40210</v>
      </c>
      <c r="F288">
        <f t="shared" si="4"/>
        <v>1</v>
      </c>
      <c r="G288" t="s">
        <v>53</v>
      </c>
      <c r="H288" t="s">
        <v>16</v>
      </c>
      <c r="I288">
        <v>9902</v>
      </c>
      <c r="J288">
        <v>1641058.46</v>
      </c>
    </row>
    <row r="289" spans="1:10" x14ac:dyDescent="0.3">
      <c r="A289">
        <v>288</v>
      </c>
      <c r="B289">
        <v>769822585</v>
      </c>
      <c r="C289" t="s">
        <v>13</v>
      </c>
      <c r="D289" t="s">
        <v>14</v>
      </c>
      <c r="E289" s="1">
        <v>42461</v>
      </c>
      <c r="F289">
        <f t="shared" si="4"/>
        <v>2</v>
      </c>
      <c r="G289" t="s">
        <v>18</v>
      </c>
      <c r="H289" t="s">
        <v>19</v>
      </c>
      <c r="I289">
        <v>6465</v>
      </c>
      <c r="J289">
        <v>408135.45</v>
      </c>
    </row>
    <row r="290" spans="1:10" x14ac:dyDescent="0.3">
      <c r="A290">
        <v>289</v>
      </c>
      <c r="B290">
        <v>768662583</v>
      </c>
      <c r="C290" t="s">
        <v>13</v>
      </c>
      <c r="D290" t="s">
        <v>10</v>
      </c>
      <c r="E290" s="1">
        <v>41091</v>
      </c>
      <c r="F290">
        <f t="shared" si="4"/>
        <v>3</v>
      </c>
      <c r="G290" t="s">
        <v>45</v>
      </c>
      <c r="H290" t="s">
        <v>12</v>
      </c>
      <c r="I290">
        <v>3195</v>
      </c>
      <c r="J290">
        <v>201700.35</v>
      </c>
    </row>
    <row r="291" spans="1:10" x14ac:dyDescent="0.3">
      <c r="A291">
        <v>290</v>
      </c>
      <c r="B291">
        <v>544219195</v>
      </c>
      <c r="C291" t="s">
        <v>20</v>
      </c>
      <c r="D291" t="s">
        <v>14</v>
      </c>
      <c r="E291" s="1">
        <v>42036</v>
      </c>
      <c r="F291">
        <f t="shared" si="4"/>
        <v>1</v>
      </c>
      <c r="G291" t="s">
        <v>33</v>
      </c>
      <c r="H291" t="s">
        <v>12</v>
      </c>
      <c r="I291">
        <v>5409</v>
      </c>
      <c r="J291">
        <v>479183.31</v>
      </c>
    </row>
    <row r="292" spans="1:10" x14ac:dyDescent="0.3">
      <c r="A292">
        <v>291</v>
      </c>
      <c r="B292">
        <v>669978749</v>
      </c>
      <c r="C292" t="s">
        <v>41</v>
      </c>
      <c r="D292" t="s">
        <v>10</v>
      </c>
      <c r="E292" s="1">
        <v>40575</v>
      </c>
      <c r="F292">
        <f t="shared" si="4"/>
        <v>1</v>
      </c>
      <c r="G292" t="s">
        <v>35</v>
      </c>
      <c r="H292" t="s">
        <v>19</v>
      </c>
      <c r="I292">
        <v>455</v>
      </c>
      <c r="J292">
        <v>7125.3</v>
      </c>
    </row>
    <row r="293" spans="1:10" x14ac:dyDescent="0.3">
      <c r="A293">
        <v>292</v>
      </c>
      <c r="B293">
        <v>889740073</v>
      </c>
      <c r="C293" t="s">
        <v>9</v>
      </c>
      <c r="D293" t="s">
        <v>10</v>
      </c>
      <c r="E293" s="1">
        <v>42005</v>
      </c>
      <c r="F293">
        <f t="shared" si="4"/>
        <v>1</v>
      </c>
      <c r="G293" t="s">
        <v>44</v>
      </c>
      <c r="H293" t="s">
        <v>26</v>
      </c>
      <c r="I293">
        <v>2715</v>
      </c>
      <c r="J293">
        <v>472057.05</v>
      </c>
    </row>
    <row r="294" spans="1:10" x14ac:dyDescent="0.3">
      <c r="A294">
        <v>293</v>
      </c>
      <c r="B294">
        <v>567614495</v>
      </c>
      <c r="C294" t="s">
        <v>41</v>
      </c>
      <c r="D294" t="s">
        <v>14</v>
      </c>
      <c r="E294" s="1">
        <v>41030</v>
      </c>
      <c r="F294">
        <f t="shared" si="4"/>
        <v>2</v>
      </c>
      <c r="G294" t="s">
        <v>31</v>
      </c>
      <c r="H294" t="s">
        <v>19</v>
      </c>
      <c r="I294">
        <v>8598</v>
      </c>
      <c r="J294">
        <v>134644.68</v>
      </c>
    </row>
    <row r="295" spans="1:10" x14ac:dyDescent="0.3">
      <c r="A295">
        <v>294</v>
      </c>
      <c r="B295">
        <v>938025844</v>
      </c>
      <c r="C295" t="s">
        <v>13</v>
      </c>
      <c r="D295" t="s">
        <v>10</v>
      </c>
      <c r="E295" s="1">
        <v>42339</v>
      </c>
      <c r="F295">
        <f t="shared" si="4"/>
        <v>4</v>
      </c>
      <c r="G295" t="s">
        <v>48</v>
      </c>
      <c r="H295" t="s">
        <v>16</v>
      </c>
      <c r="I295">
        <v>1547</v>
      </c>
      <c r="J295">
        <v>97662.11</v>
      </c>
    </row>
    <row r="296" spans="1:10" x14ac:dyDescent="0.3">
      <c r="A296">
        <v>295</v>
      </c>
      <c r="B296">
        <v>155710446</v>
      </c>
      <c r="C296" t="s">
        <v>13</v>
      </c>
      <c r="D296" t="s">
        <v>14</v>
      </c>
      <c r="E296" s="1">
        <v>42767</v>
      </c>
      <c r="F296">
        <f t="shared" si="4"/>
        <v>1</v>
      </c>
      <c r="G296" t="s">
        <v>46</v>
      </c>
      <c r="H296" t="s">
        <v>28</v>
      </c>
      <c r="I296">
        <v>7036</v>
      </c>
      <c r="J296">
        <v>444182.68</v>
      </c>
    </row>
    <row r="297" spans="1:10" x14ac:dyDescent="0.3">
      <c r="A297">
        <v>296</v>
      </c>
      <c r="B297">
        <v>945717132</v>
      </c>
      <c r="C297" t="s">
        <v>17</v>
      </c>
      <c r="D297" t="s">
        <v>14</v>
      </c>
      <c r="E297" s="1">
        <v>40909</v>
      </c>
      <c r="F297">
        <f t="shared" si="4"/>
        <v>1</v>
      </c>
      <c r="G297" t="s">
        <v>53</v>
      </c>
      <c r="H297" t="s">
        <v>16</v>
      </c>
      <c r="I297">
        <v>7570</v>
      </c>
      <c r="J297">
        <v>725660.2</v>
      </c>
    </row>
    <row r="298" spans="1:10" x14ac:dyDescent="0.3">
      <c r="A298">
        <v>297</v>
      </c>
      <c r="B298">
        <v>253407227</v>
      </c>
      <c r="C298" t="s">
        <v>9</v>
      </c>
      <c r="D298" t="s">
        <v>10</v>
      </c>
      <c r="E298" s="1">
        <v>41306</v>
      </c>
      <c r="F298">
        <f t="shared" si="4"/>
        <v>1</v>
      </c>
      <c r="G298" t="s">
        <v>50</v>
      </c>
      <c r="H298" t="s">
        <v>16</v>
      </c>
      <c r="I298">
        <v>7685</v>
      </c>
      <c r="J298">
        <v>1336190.95</v>
      </c>
    </row>
    <row r="299" spans="1:10" x14ac:dyDescent="0.3">
      <c r="A299">
        <v>298</v>
      </c>
      <c r="B299">
        <v>494454562</v>
      </c>
      <c r="C299" t="s">
        <v>36</v>
      </c>
      <c r="D299" t="s">
        <v>10</v>
      </c>
      <c r="E299" s="1">
        <v>41883</v>
      </c>
      <c r="F299">
        <f t="shared" si="4"/>
        <v>3</v>
      </c>
      <c r="G299" t="s">
        <v>18</v>
      </c>
      <c r="H299" t="s">
        <v>19</v>
      </c>
      <c r="I299">
        <v>8948</v>
      </c>
      <c r="J299">
        <v>1482952.04</v>
      </c>
    </row>
    <row r="300" spans="1:10" x14ac:dyDescent="0.3">
      <c r="A300">
        <v>299</v>
      </c>
      <c r="B300">
        <v>104845464</v>
      </c>
      <c r="C300" t="s">
        <v>20</v>
      </c>
      <c r="D300" t="s">
        <v>14</v>
      </c>
      <c r="E300" s="1">
        <v>41061</v>
      </c>
      <c r="F300">
        <f t="shared" si="4"/>
        <v>2</v>
      </c>
      <c r="G300" t="s">
        <v>33</v>
      </c>
      <c r="H300" t="s">
        <v>12</v>
      </c>
      <c r="I300">
        <v>4957</v>
      </c>
      <c r="J300">
        <v>439140.63</v>
      </c>
    </row>
    <row r="301" spans="1:10" x14ac:dyDescent="0.3">
      <c r="A301">
        <v>300</v>
      </c>
      <c r="B301">
        <v>290878760</v>
      </c>
      <c r="C301" t="s">
        <v>9</v>
      </c>
      <c r="D301" t="s">
        <v>14</v>
      </c>
      <c r="E301" s="1">
        <v>41730</v>
      </c>
      <c r="F301">
        <f t="shared" si="4"/>
        <v>2</v>
      </c>
      <c r="G301" t="s">
        <v>32</v>
      </c>
      <c r="H301" t="s">
        <v>26</v>
      </c>
      <c r="I301">
        <v>6344</v>
      </c>
      <c r="J301">
        <v>1103031.28</v>
      </c>
    </row>
    <row r="302" spans="1:10" x14ac:dyDescent="0.3">
      <c r="A302">
        <v>301</v>
      </c>
      <c r="B302">
        <v>979165780</v>
      </c>
      <c r="C302" t="s">
        <v>40</v>
      </c>
      <c r="D302" t="s">
        <v>10</v>
      </c>
      <c r="E302" s="1">
        <v>41671</v>
      </c>
      <c r="F302">
        <f t="shared" si="4"/>
        <v>1</v>
      </c>
      <c r="G302" t="s">
        <v>31</v>
      </c>
      <c r="H302" t="s">
        <v>19</v>
      </c>
      <c r="I302">
        <v>5768</v>
      </c>
      <c r="J302">
        <v>728210</v>
      </c>
    </row>
    <row r="303" spans="1:10" x14ac:dyDescent="0.3">
      <c r="A303">
        <v>302</v>
      </c>
      <c r="B303">
        <v>366630351</v>
      </c>
      <c r="C303" t="s">
        <v>40</v>
      </c>
      <c r="D303" t="s">
        <v>10</v>
      </c>
      <c r="E303" s="1">
        <v>40422</v>
      </c>
      <c r="F303">
        <f t="shared" si="4"/>
        <v>3</v>
      </c>
      <c r="G303" t="s">
        <v>55</v>
      </c>
      <c r="H303" t="s">
        <v>26</v>
      </c>
      <c r="I303">
        <v>2923</v>
      </c>
      <c r="J303">
        <v>369028.75</v>
      </c>
    </row>
    <row r="304" spans="1:10" x14ac:dyDescent="0.3">
      <c r="A304">
        <v>303</v>
      </c>
      <c r="B304">
        <v>770508801</v>
      </c>
      <c r="C304" t="s">
        <v>40</v>
      </c>
      <c r="D304" t="s">
        <v>14</v>
      </c>
      <c r="E304" s="1">
        <v>40664</v>
      </c>
      <c r="F304">
        <f t="shared" si="4"/>
        <v>2</v>
      </c>
      <c r="G304" t="s">
        <v>39</v>
      </c>
      <c r="H304" t="s">
        <v>28</v>
      </c>
      <c r="I304">
        <v>9532</v>
      </c>
      <c r="J304">
        <v>1203415</v>
      </c>
    </row>
    <row r="305" spans="1:10" x14ac:dyDescent="0.3">
      <c r="A305">
        <v>304</v>
      </c>
      <c r="B305">
        <v>978349959</v>
      </c>
      <c r="C305" t="s">
        <v>41</v>
      </c>
      <c r="D305" t="s">
        <v>10</v>
      </c>
      <c r="E305" s="1">
        <v>41365</v>
      </c>
      <c r="F305">
        <f t="shared" si="4"/>
        <v>2</v>
      </c>
      <c r="G305" t="s">
        <v>18</v>
      </c>
      <c r="H305" t="s">
        <v>19</v>
      </c>
      <c r="I305">
        <v>4349</v>
      </c>
      <c r="J305">
        <v>68105.34</v>
      </c>
    </row>
    <row r="306" spans="1:10" x14ac:dyDescent="0.3">
      <c r="A306">
        <v>305</v>
      </c>
      <c r="B306">
        <v>298015153</v>
      </c>
      <c r="C306" t="s">
        <v>41</v>
      </c>
      <c r="D306" t="s">
        <v>10</v>
      </c>
      <c r="E306" s="1">
        <v>41852</v>
      </c>
      <c r="F306">
        <f t="shared" si="4"/>
        <v>3</v>
      </c>
      <c r="G306" t="s">
        <v>58</v>
      </c>
      <c r="H306" t="s">
        <v>26</v>
      </c>
      <c r="I306">
        <v>8161</v>
      </c>
      <c r="J306">
        <v>127801.26</v>
      </c>
    </row>
    <row r="307" spans="1:10" x14ac:dyDescent="0.3">
      <c r="A307">
        <v>306</v>
      </c>
      <c r="B307">
        <v>807678210</v>
      </c>
      <c r="C307" t="s">
        <v>34</v>
      </c>
      <c r="D307" t="s">
        <v>14</v>
      </c>
      <c r="E307" s="1">
        <v>40422</v>
      </c>
      <c r="F307">
        <f t="shared" si="4"/>
        <v>3</v>
      </c>
      <c r="G307" t="s">
        <v>32</v>
      </c>
      <c r="H307" t="s">
        <v>26</v>
      </c>
      <c r="I307">
        <v>8786</v>
      </c>
      <c r="J307">
        <v>484460.04</v>
      </c>
    </row>
    <row r="308" spans="1:10" x14ac:dyDescent="0.3">
      <c r="A308">
        <v>307</v>
      </c>
      <c r="B308">
        <v>605825459</v>
      </c>
      <c r="C308" t="s">
        <v>43</v>
      </c>
      <c r="D308" t="s">
        <v>10</v>
      </c>
      <c r="E308" s="1">
        <v>41365</v>
      </c>
      <c r="F308">
        <f t="shared" si="4"/>
        <v>2</v>
      </c>
      <c r="G308" t="s">
        <v>27</v>
      </c>
      <c r="H308" t="s">
        <v>28</v>
      </c>
      <c r="I308">
        <v>6071</v>
      </c>
      <c r="J308">
        <v>152139.26</v>
      </c>
    </row>
    <row r="309" spans="1:10" x14ac:dyDescent="0.3">
      <c r="A309">
        <v>308</v>
      </c>
      <c r="B309">
        <v>561255729</v>
      </c>
      <c r="C309" t="s">
        <v>24</v>
      </c>
      <c r="D309" t="s">
        <v>14</v>
      </c>
      <c r="E309" s="1">
        <v>42370</v>
      </c>
      <c r="F309">
        <f t="shared" si="4"/>
        <v>1</v>
      </c>
      <c r="G309" t="s">
        <v>56</v>
      </c>
      <c r="H309" t="s">
        <v>19</v>
      </c>
      <c r="I309">
        <v>6897</v>
      </c>
      <c r="J309">
        <v>16621.77</v>
      </c>
    </row>
    <row r="310" spans="1:10" x14ac:dyDescent="0.3">
      <c r="A310">
        <v>309</v>
      </c>
      <c r="B310">
        <v>263080346</v>
      </c>
      <c r="C310" t="s">
        <v>30</v>
      </c>
      <c r="D310" t="s">
        <v>14</v>
      </c>
      <c r="E310" s="1">
        <v>41609</v>
      </c>
      <c r="F310">
        <f t="shared" si="4"/>
        <v>4</v>
      </c>
      <c r="G310" t="s">
        <v>52</v>
      </c>
      <c r="H310" t="s">
        <v>19</v>
      </c>
      <c r="I310">
        <v>175</v>
      </c>
      <c r="J310">
        <v>12852</v>
      </c>
    </row>
    <row r="311" spans="1:10" x14ac:dyDescent="0.3">
      <c r="A311">
        <v>310</v>
      </c>
      <c r="B311">
        <v>270723140</v>
      </c>
      <c r="C311" t="s">
        <v>20</v>
      </c>
      <c r="D311" t="s">
        <v>10</v>
      </c>
      <c r="E311" s="1">
        <v>41671</v>
      </c>
      <c r="F311">
        <f t="shared" si="4"/>
        <v>1</v>
      </c>
      <c r="G311" t="s">
        <v>52</v>
      </c>
      <c r="H311" t="s">
        <v>19</v>
      </c>
      <c r="I311">
        <v>1848</v>
      </c>
      <c r="J311">
        <v>163714.32</v>
      </c>
    </row>
    <row r="312" spans="1:10" x14ac:dyDescent="0.3">
      <c r="A312">
        <v>311</v>
      </c>
      <c r="B312">
        <v>763920438</v>
      </c>
      <c r="C312" t="s">
        <v>30</v>
      </c>
      <c r="D312" t="s">
        <v>10</v>
      </c>
      <c r="E312" s="1">
        <v>42887</v>
      </c>
      <c r="F312">
        <f t="shared" si="4"/>
        <v>2</v>
      </c>
      <c r="G312" t="s">
        <v>11</v>
      </c>
      <c r="H312" t="s">
        <v>12</v>
      </c>
      <c r="I312">
        <v>9888</v>
      </c>
      <c r="J312">
        <v>726174.71999999997</v>
      </c>
    </row>
    <row r="313" spans="1:10" x14ac:dyDescent="0.3">
      <c r="A313">
        <v>312</v>
      </c>
      <c r="B313">
        <v>192721068</v>
      </c>
      <c r="C313" t="s">
        <v>36</v>
      </c>
      <c r="D313" t="s">
        <v>14</v>
      </c>
      <c r="E313" s="1">
        <v>41730</v>
      </c>
      <c r="F313">
        <f t="shared" si="4"/>
        <v>2</v>
      </c>
      <c r="G313" t="s">
        <v>15</v>
      </c>
      <c r="H313" t="s">
        <v>16</v>
      </c>
      <c r="I313">
        <v>9302</v>
      </c>
      <c r="J313">
        <v>1541620.46</v>
      </c>
    </row>
    <row r="314" spans="1:10" x14ac:dyDescent="0.3">
      <c r="A314">
        <v>313</v>
      </c>
      <c r="B314">
        <v>227486360</v>
      </c>
      <c r="C314" t="s">
        <v>24</v>
      </c>
      <c r="D314" t="s">
        <v>10</v>
      </c>
      <c r="E314" s="1">
        <v>40664</v>
      </c>
      <c r="F314">
        <f t="shared" si="4"/>
        <v>2</v>
      </c>
      <c r="G314" t="s">
        <v>11</v>
      </c>
      <c r="H314" t="s">
        <v>12</v>
      </c>
      <c r="I314">
        <v>7124</v>
      </c>
      <c r="J314">
        <v>17168.84</v>
      </c>
    </row>
    <row r="315" spans="1:10" x14ac:dyDescent="0.3">
      <c r="A315">
        <v>314</v>
      </c>
      <c r="B315">
        <v>808890140</v>
      </c>
      <c r="C315" t="s">
        <v>13</v>
      </c>
      <c r="D315" t="s">
        <v>14</v>
      </c>
      <c r="E315" s="1">
        <v>41122</v>
      </c>
      <c r="F315">
        <f t="shared" si="4"/>
        <v>3</v>
      </c>
      <c r="G315" t="s">
        <v>31</v>
      </c>
      <c r="H315" t="s">
        <v>19</v>
      </c>
      <c r="I315">
        <v>7422</v>
      </c>
      <c r="J315">
        <v>468550.86</v>
      </c>
    </row>
    <row r="316" spans="1:10" x14ac:dyDescent="0.3">
      <c r="A316">
        <v>315</v>
      </c>
      <c r="B316">
        <v>597918736</v>
      </c>
      <c r="C316" t="s">
        <v>9</v>
      </c>
      <c r="D316" t="s">
        <v>10</v>
      </c>
      <c r="E316" s="1">
        <v>42186</v>
      </c>
      <c r="F316">
        <f t="shared" si="4"/>
        <v>3</v>
      </c>
      <c r="G316" t="s">
        <v>35</v>
      </c>
      <c r="H316" t="s">
        <v>19</v>
      </c>
      <c r="I316">
        <v>6296</v>
      </c>
      <c r="J316">
        <v>1094685.52</v>
      </c>
    </row>
    <row r="317" spans="1:10" x14ac:dyDescent="0.3">
      <c r="A317">
        <v>316</v>
      </c>
      <c r="B317">
        <v>125870978</v>
      </c>
      <c r="C317" t="s">
        <v>9</v>
      </c>
      <c r="D317" t="s">
        <v>14</v>
      </c>
      <c r="E317" s="1">
        <v>41913</v>
      </c>
      <c r="F317">
        <f t="shared" si="4"/>
        <v>4</v>
      </c>
      <c r="G317" t="s">
        <v>21</v>
      </c>
      <c r="H317" t="s">
        <v>19</v>
      </c>
      <c r="I317">
        <v>6874</v>
      </c>
      <c r="J317">
        <v>1195182.3799999999</v>
      </c>
    </row>
    <row r="318" spans="1:10" x14ac:dyDescent="0.3">
      <c r="A318">
        <v>317</v>
      </c>
      <c r="B318">
        <v>444358193</v>
      </c>
      <c r="C318" t="s">
        <v>36</v>
      </c>
      <c r="D318" t="s">
        <v>14</v>
      </c>
      <c r="E318" s="1">
        <v>41548</v>
      </c>
      <c r="F318">
        <f t="shared" si="4"/>
        <v>4</v>
      </c>
      <c r="G318" t="s">
        <v>52</v>
      </c>
      <c r="H318" t="s">
        <v>19</v>
      </c>
      <c r="I318">
        <v>4319</v>
      </c>
      <c r="J318">
        <v>715787.87</v>
      </c>
    </row>
    <row r="319" spans="1:10" x14ac:dyDescent="0.3">
      <c r="A319">
        <v>318</v>
      </c>
      <c r="B319">
        <v>875304210</v>
      </c>
      <c r="C319" t="s">
        <v>41</v>
      </c>
      <c r="D319" t="s">
        <v>14</v>
      </c>
      <c r="E319" s="1">
        <v>41306</v>
      </c>
      <c r="F319">
        <f t="shared" si="4"/>
        <v>1</v>
      </c>
      <c r="G319" t="s">
        <v>56</v>
      </c>
      <c r="H319" t="s">
        <v>19</v>
      </c>
      <c r="I319">
        <v>822</v>
      </c>
      <c r="J319">
        <v>12872.52</v>
      </c>
    </row>
    <row r="320" spans="1:10" x14ac:dyDescent="0.3">
      <c r="A320">
        <v>319</v>
      </c>
      <c r="B320">
        <v>360945355</v>
      </c>
      <c r="C320" t="s">
        <v>17</v>
      </c>
      <c r="D320" t="s">
        <v>10</v>
      </c>
      <c r="E320" s="1">
        <v>41821</v>
      </c>
      <c r="F320">
        <f t="shared" si="4"/>
        <v>3</v>
      </c>
      <c r="G320" t="s">
        <v>42</v>
      </c>
      <c r="H320" t="s">
        <v>26</v>
      </c>
      <c r="I320">
        <v>607</v>
      </c>
      <c r="J320">
        <v>58187.02</v>
      </c>
    </row>
    <row r="321" spans="1:10" x14ac:dyDescent="0.3">
      <c r="A321">
        <v>320</v>
      </c>
      <c r="B321">
        <v>613830459</v>
      </c>
      <c r="C321" t="s">
        <v>20</v>
      </c>
      <c r="D321" t="s">
        <v>10</v>
      </c>
      <c r="E321" s="1">
        <v>42705</v>
      </c>
      <c r="F321">
        <f t="shared" si="4"/>
        <v>4</v>
      </c>
      <c r="G321" t="s">
        <v>46</v>
      </c>
      <c r="H321" t="s">
        <v>28</v>
      </c>
      <c r="I321">
        <v>4928</v>
      </c>
      <c r="J321">
        <v>436571.52</v>
      </c>
    </row>
    <row r="322" spans="1:10" x14ac:dyDescent="0.3">
      <c r="A322">
        <v>321</v>
      </c>
      <c r="B322">
        <v>266820847</v>
      </c>
      <c r="C322" t="s">
        <v>20</v>
      </c>
      <c r="D322" t="s">
        <v>10</v>
      </c>
      <c r="E322" s="1">
        <v>41214</v>
      </c>
      <c r="F322">
        <f t="shared" ref="F322:F385" si="5">ROUNDUP(MONTH(E322)/3,0)</f>
        <v>4</v>
      </c>
      <c r="G322" t="s">
        <v>50</v>
      </c>
      <c r="H322" t="s">
        <v>16</v>
      </c>
      <c r="I322">
        <v>7073</v>
      </c>
      <c r="J322">
        <v>626597.06999999995</v>
      </c>
    </row>
    <row r="323" spans="1:10" x14ac:dyDescent="0.3">
      <c r="A323">
        <v>322</v>
      </c>
      <c r="B323">
        <v>723090350</v>
      </c>
      <c r="C323" t="s">
        <v>17</v>
      </c>
      <c r="D323" t="s">
        <v>10</v>
      </c>
      <c r="E323" s="1">
        <v>41944</v>
      </c>
      <c r="F323">
        <f t="shared" si="5"/>
        <v>4</v>
      </c>
      <c r="G323" t="s">
        <v>52</v>
      </c>
      <c r="H323" t="s">
        <v>19</v>
      </c>
      <c r="I323">
        <v>7358</v>
      </c>
      <c r="J323">
        <v>705337.88</v>
      </c>
    </row>
    <row r="324" spans="1:10" x14ac:dyDescent="0.3">
      <c r="A324">
        <v>323</v>
      </c>
      <c r="B324">
        <v>306125295</v>
      </c>
      <c r="C324" t="s">
        <v>47</v>
      </c>
      <c r="D324" t="s">
        <v>10</v>
      </c>
      <c r="E324" s="1">
        <v>41487</v>
      </c>
      <c r="F324">
        <f t="shared" si="5"/>
        <v>3</v>
      </c>
      <c r="G324" t="s">
        <v>52</v>
      </c>
      <c r="H324" t="s">
        <v>19</v>
      </c>
      <c r="I324">
        <v>8132</v>
      </c>
      <c r="J324">
        <v>465150.4</v>
      </c>
    </row>
    <row r="325" spans="1:10" x14ac:dyDescent="0.3">
      <c r="A325">
        <v>324</v>
      </c>
      <c r="B325">
        <v>109724509</v>
      </c>
      <c r="C325" t="s">
        <v>43</v>
      </c>
      <c r="D325" t="s">
        <v>14</v>
      </c>
      <c r="E325" s="1">
        <v>41030</v>
      </c>
      <c r="F325">
        <f t="shared" si="5"/>
        <v>2</v>
      </c>
      <c r="G325" t="s">
        <v>53</v>
      </c>
      <c r="H325" t="s">
        <v>16</v>
      </c>
      <c r="I325">
        <v>8775</v>
      </c>
      <c r="J325">
        <v>219901.5</v>
      </c>
    </row>
    <row r="326" spans="1:10" x14ac:dyDescent="0.3">
      <c r="A326">
        <v>325</v>
      </c>
      <c r="B326">
        <v>847999322</v>
      </c>
      <c r="C326" t="s">
        <v>30</v>
      </c>
      <c r="D326" t="s">
        <v>10</v>
      </c>
      <c r="E326" s="1">
        <v>42186</v>
      </c>
      <c r="F326">
        <f t="shared" si="5"/>
        <v>3</v>
      </c>
      <c r="G326" t="s">
        <v>37</v>
      </c>
      <c r="H326" t="s">
        <v>26</v>
      </c>
      <c r="I326">
        <v>699</v>
      </c>
      <c r="J326">
        <v>51334.559999999998</v>
      </c>
    </row>
    <row r="327" spans="1:10" x14ac:dyDescent="0.3">
      <c r="A327">
        <v>326</v>
      </c>
      <c r="B327">
        <v>605373561</v>
      </c>
      <c r="C327" t="s">
        <v>30</v>
      </c>
      <c r="D327" t="s">
        <v>14</v>
      </c>
      <c r="E327" s="1">
        <v>42767</v>
      </c>
      <c r="F327">
        <f t="shared" si="5"/>
        <v>1</v>
      </c>
      <c r="G327" t="s">
        <v>53</v>
      </c>
      <c r="H327" t="s">
        <v>16</v>
      </c>
      <c r="I327">
        <v>2344</v>
      </c>
      <c r="J327">
        <v>172143.35999999999</v>
      </c>
    </row>
    <row r="328" spans="1:10" x14ac:dyDescent="0.3">
      <c r="A328">
        <v>327</v>
      </c>
      <c r="B328">
        <v>686583554</v>
      </c>
      <c r="C328" t="s">
        <v>41</v>
      </c>
      <c r="D328" t="s">
        <v>14</v>
      </c>
      <c r="E328" s="1">
        <v>40909</v>
      </c>
      <c r="F328">
        <f t="shared" si="5"/>
        <v>1</v>
      </c>
      <c r="G328" t="s">
        <v>15</v>
      </c>
      <c r="H328" t="s">
        <v>16</v>
      </c>
      <c r="I328">
        <v>4186</v>
      </c>
      <c r="J328">
        <v>65552.759999999995</v>
      </c>
    </row>
    <row r="329" spans="1:10" x14ac:dyDescent="0.3">
      <c r="A329">
        <v>328</v>
      </c>
      <c r="B329">
        <v>666678130</v>
      </c>
      <c r="C329" t="s">
        <v>41</v>
      </c>
      <c r="D329" t="s">
        <v>10</v>
      </c>
      <c r="E329" s="1">
        <v>42217</v>
      </c>
      <c r="F329">
        <f t="shared" si="5"/>
        <v>3</v>
      </c>
      <c r="G329" t="s">
        <v>42</v>
      </c>
      <c r="H329" t="s">
        <v>26</v>
      </c>
      <c r="I329">
        <v>3729</v>
      </c>
      <c r="J329">
        <v>58396.14</v>
      </c>
    </row>
    <row r="330" spans="1:10" x14ac:dyDescent="0.3">
      <c r="A330">
        <v>329</v>
      </c>
      <c r="B330">
        <v>641018617</v>
      </c>
      <c r="C330" t="s">
        <v>17</v>
      </c>
      <c r="D330" t="s">
        <v>14</v>
      </c>
      <c r="E330" s="1">
        <v>41426</v>
      </c>
      <c r="F330">
        <f t="shared" si="5"/>
        <v>2</v>
      </c>
      <c r="G330" t="s">
        <v>56</v>
      </c>
      <c r="H330" t="s">
        <v>19</v>
      </c>
      <c r="I330">
        <v>508</v>
      </c>
      <c r="J330">
        <v>48696.88</v>
      </c>
    </row>
    <row r="331" spans="1:10" x14ac:dyDescent="0.3">
      <c r="A331">
        <v>330</v>
      </c>
      <c r="B331">
        <v>775278842</v>
      </c>
      <c r="C331" t="s">
        <v>47</v>
      </c>
      <c r="D331" t="s">
        <v>14</v>
      </c>
      <c r="E331" s="1">
        <v>40756</v>
      </c>
      <c r="F331">
        <f t="shared" si="5"/>
        <v>3</v>
      </c>
      <c r="G331" t="s">
        <v>21</v>
      </c>
      <c r="H331" t="s">
        <v>19</v>
      </c>
      <c r="I331">
        <v>1093</v>
      </c>
      <c r="J331">
        <v>62519.6</v>
      </c>
    </row>
    <row r="332" spans="1:10" x14ac:dyDescent="0.3">
      <c r="A332">
        <v>331</v>
      </c>
      <c r="B332">
        <v>855445134</v>
      </c>
      <c r="C332" t="s">
        <v>47</v>
      </c>
      <c r="D332" t="s">
        <v>10</v>
      </c>
      <c r="E332" s="1">
        <v>42644</v>
      </c>
      <c r="F332">
        <f t="shared" si="5"/>
        <v>4</v>
      </c>
      <c r="G332" t="s">
        <v>21</v>
      </c>
      <c r="H332" t="s">
        <v>19</v>
      </c>
      <c r="I332">
        <v>4080</v>
      </c>
      <c r="J332">
        <v>233376</v>
      </c>
    </row>
    <row r="333" spans="1:10" x14ac:dyDescent="0.3">
      <c r="A333">
        <v>332</v>
      </c>
      <c r="B333">
        <v>737816321</v>
      </c>
      <c r="C333" t="s">
        <v>13</v>
      </c>
      <c r="D333" t="s">
        <v>14</v>
      </c>
      <c r="E333" s="1">
        <v>40422</v>
      </c>
      <c r="F333">
        <f t="shared" si="5"/>
        <v>3</v>
      </c>
      <c r="G333" t="s">
        <v>25</v>
      </c>
      <c r="H333" t="s">
        <v>26</v>
      </c>
      <c r="I333">
        <v>5100</v>
      </c>
      <c r="J333">
        <v>321963</v>
      </c>
    </row>
    <row r="334" spans="1:10" x14ac:dyDescent="0.3">
      <c r="A334">
        <v>333</v>
      </c>
      <c r="B334">
        <v>799003732</v>
      </c>
      <c r="C334" t="s">
        <v>41</v>
      </c>
      <c r="D334" t="s">
        <v>14</v>
      </c>
      <c r="E334" s="1">
        <v>41456</v>
      </c>
      <c r="F334">
        <f t="shared" si="5"/>
        <v>3</v>
      </c>
      <c r="G334" t="s">
        <v>52</v>
      </c>
      <c r="H334" t="s">
        <v>19</v>
      </c>
      <c r="I334">
        <v>1815</v>
      </c>
      <c r="J334">
        <v>28422.9</v>
      </c>
    </row>
    <row r="335" spans="1:10" x14ac:dyDescent="0.3">
      <c r="A335">
        <v>334</v>
      </c>
      <c r="B335">
        <v>585931193</v>
      </c>
      <c r="C335" t="s">
        <v>13</v>
      </c>
      <c r="D335" t="s">
        <v>14</v>
      </c>
      <c r="E335" s="1">
        <v>41183</v>
      </c>
      <c r="F335">
        <f t="shared" si="5"/>
        <v>4</v>
      </c>
      <c r="G335" t="s">
        <v>45</v>
      </c>
      <c r="H335" t="s">
        <v>12</v>
      </c>
      <c r="I335">
        <v>8916</v>
      </c>
      <c r="J335">
        <v>562867.07999999996</v>
      </c>
    </row>
    <row r="336" spans="1:10" x14ac:dyDescent="0.3">
      <c r="A336">
        <v>335</v>
      </c>
      <c r="B336">
        <v>165835034</v>
      </c>
      <c r="C336" t="s">
        <v>13</v>
      </c>
      <c r="D336" t="s">
        <v>14</v>
      </c>
      <c r="E336" s="1">
        <v>40909</v>
      </c>
      <c r="F336">
        <f t="shared" si="5"/>
        <v>1</v>
      </c>
      <c r="G336" t="s">
        <v>58</v>
      </c>
      <c r="H336" t="s">
        <v>26</v>
      </c>
      <c r="I336">
        <v>3127</v>
      </c>
      <c r="J336">
        <v>197407.51</v>
      </c>
    </row>
    <row r="337" spans="1:10" x14ac:dyDescent="0.3">
      <c r="A337">
        <v>336</v>
      </c>
      <c r="B337">
        <v>576264083</v>
      </c>
      <c r="C337" t="s">
        <v>17</v>
      </c>
      <c r="D337" t="s">
        <v>10</v>
      </c>
      <c r="E337" s="1">
        <v>40940</v>
      </c>
      <c r="F337">
        <f t="shared" si="5"/>
        <v>1</v>
      </c>
      <c r="G337" t="s">
        <v>44</v>
      </c>
      <c r="H337" t="s">
        <v>26</v>
      </c>
      <c r="I337">
        <v>8203</v>
      </c>
      <c r="J337">
        <v>786339.58</v>
      </c>
    </row>
    <row r="338" spans="1:10" x14ac:dyDescent="0.3">
      <c r="A338">
        <v>337</v>
      </c>
      <c r="B338">
        <v>675079667</v>
      </c>
      <c r="C338" t="s">
        <v>30</v>
      </c>
      <c r="D338" t="s">
        <v>10</v>
      </c>
      <c r="E338" s="1">
        <v>42005</v>
      </c>
      <c r="F338">
        <f t="shared" si="5"/>
        <v>1</v>
      </c>
      <c r="G338" t="s">
        <v>37</v>
      </c>
      <c r="H338" t="s">
        <v>26</v>
      </c>
      <c r="I338">
        <v>9930</v>
      </c>
      <c r="J338">
        <v>729259.2</v>
      </c>
    </row>
    <row r="339" spans="1:10" x14ac:dyDescent="0.3">
      <c r="A339">
        <v>338</v>
      </c>
      <c r="B339">
        <v>290455615</v>
      </c>
      <c r="C339" t="s">
        <v>43</v>
      </c>
      <c r="D339" t="s">
        <v>14</v>
      </c>
      <c r="E339" s="1">
        <v>41030</v>
      </c>
      <c r="F339">
        <f t="shared" si="5"/>
        <v>2</v>
      </c>
      <c r="G339" t="s">
        <v>51</v>
      </c>
      <c r="H339" t="s">
        <v>26</v>
      </c>
      <c r="I339">
        <v>1126</v>
      </c>
      <c r="J339">
        <v>28217.56</v>
      </c>
    </row>
    <row r="340" spans="1:10" x14ac:dyDescent="0.3">
      <c r="A340">
        <v>339</v>
      </c>
      <c r="B340">
        <v>670878255</v>
      </c>
      <c r="C340" t="s">
        <v>34</v>
      </c>
      <c r="D340" t="s">
        <v>10</v>
      </c>
      <c r="E340" s="1">
        <v>40909</v>
      </c>
      <c r="F340">
        <f t="shared" si="5"/>
        <v>1</v>
      </c>
      <c r="G340" t="s">
        <v>35</v>
      </c>
      <c r="H340" t="s">
        <v>19</v>
      </c>
      <c r="I340">
        <v>6639</v>
      </c>
      <c r="J340">
        <v>366074.46</v>
      </c>
    </row>
    <row r="341" spans="1:10" x14ac:dyDescent="0.3">
      <c r="A341">
        <v>340</v>
      </c>
      <c r="B341">
        <v>435146415</v>
      </c>
      <c r="C341" t="s">
        <v>20</v>
      </c>
      <c r="D341" t="s">
        <v>14</v>
      </c>
      <c r="E341" s="1">
        <v>40725</v>
      </c>
      <c r="F341">
        <f t="shared" si="5"/>
        <v>3</v>
      </c>
      <c r="G341" t="s">
        <v>18</v>
      </c>
      <c r="H341" t="s">
        <v>19</v>
      </c>
      <c r="I341">
        <v>8349</v>
      </c>
      <c r="J341">
        <v>739637.91</v>
      </c>
    </row>
    <row r="342" spans="1:10" x14ac:dyDescent="0.3">
      <c r="A342">
        <v>341</v>
      </c>
      <c r="B342">
        <v>522371423</v>
      </c>
      <c r="C342" t="s">
        <v>34</v>
      </c>
      <c r="D342" t="s">
        <v>14</v>
      </c>
      <c r="E342" s="1">
        <v>42795</v>
      </c>
      <c r="F342">
        <f t="shared" si="5"/>
        <v>1</v>
      </c>
      <c r="G342" t="s">
        <v>15</v>
      </c>
      <c r="H342" t="s">
        <v>16</v>
      </c>
      <c r="I342">
        <v>167</v>
      </c>
      <c r="J342">
        <v>9208.3799999999992</v>
      </c>
    </row>
    <row r="343" spans="1:10" x14ac:dyDescent="0.3">
      <c r="A343">
        <v>342</v>
      </c>
      <c r="B343">
        <v>141977107</v>
      </c>
      <c r="C343" t="s">
        <v>40</v>
      </c>
      <c r="D343" t="s">
        <v>14</v>
      </c>
      <c r="E343" s="1">
        <v>42795</v>
      </c>
      <c r="F343">
        <f t="shared" si="5"/>
        <v>1</v>
      </c>
      <c r="G343" t="s">
        <v>45</v>
      </c>
      <c r="H343" t="s">
        <v>12</v>
      </c>
      <c r="I343">
        <v>3036</v>
      </c>
      <c r="J343">
        <v>383295</v>
      </c>
    </row>
    <row r="344" spans="1:10" x14ac:dyDescent="0.3">
      <c r="A344">
        <v>343</v>
      </c>
      <c r="B344">
        <v>823699796</v>
      </c>
      <c r="C344" t="s">
        <v>17</v>
      </c>
      <c r="D344" t="s">
        <v>10</v>
      </c>
      <c r="E344" s="1">
        <v>42430</v>
      </c>
      <c r="F344">
        <f t="shared" si="5"/>
        <v>1</v>
      </c>
      <c r="G344" t="s">
        <v>18</v>
      </c>
      <c r="H344" t="s">
        <v>19</v>
      </c>
      <c r="I344">
        <v>9929</v>
      </c>
      <c r="J344">
        <v>951793.94</v>
      </c>
    </row>
    <row r="345" spans="1:10" x14ac:dyDescent="0.3">
      <c r="A345">
        <v>344</v>
      </c>
      <c r="B345">
        <v>567588317</v>
      </c>
      <c r="C345" t="s">
        <v>41</v>
      </c>
      <c r="D345" t="s">
        <v>10</v>
      </c>
      <c r="E345" s="1">
        <v>42339</v>
      </c>
      <c r="F345">
        <f t="shared" si="5"/>
        <v>4</v>
      </c>
      <c r="G345" t="s">
        <v>58</v>
      </c>
      <c r="H345" t="s">
        <v>26</v>
      </c>
      <c r="I345">
        <v>851</v>
      </c>
      <c r="J345">
        <v>13326.66</v>
      </c>
    </row>
    <row r="346" spans="1:10" x14ac:dyDescent="0.3">
      <c r="A346">
        <v>345</v>
      </c>
      <c r="B346">
        <v>594003999</v>
      </c>
      <c r="C346" t="s">
        <v>24</v>
      </c>
      <c r="D346" t="s">
        <v>10</v>
      </c>
      <c r="E346" s="1">
        <v>40817</v>
      </c>
      <c r="F346">
        <f t="shared" si="5"/>
        <v>4</v>
      </c>
      <c r="G346" t="s">
        <v>45</v>
      </c>
      <c r="H346" t="s">
        <v>12</v>
      </c>
      <c r="I346">
        <v>7838</v>
      </c>
      <c r="J346">
        <v>18889.580000000002</v>
      </c>
    </row>
    <row r="347" spans="1:10" x14ac:dyDescent="0.3">
      <c r="A347">
        <v>346</v>
      </c>
      <c r="B347">
        <v>393620669</v>
      </c>
      <c r="C347" t="s">
        <v>17</v>
      </c>
      <c r="D347" t="s">
        <v>10</v>
      </c>
      <c r="E347" s="1">
        <v>40695</v>
      </c>
      <c r="F347">
        <f t="shared" si="5"/>
        <v>2</v>
      </c>
      <c r="G347" t="s">
        <v>58</v>
      </c>
      <c r="H347" t="s">
        <v>26</v>
      </c>
      <c r="I347">
        <v>9958</v>
      </c>
      <c r="J347">
        <v>954573.88</v>
      </c>
    </row>
    <row r="348" spans="1:10" x14ac:dyDescent="0.3">
      <c r="A348">
        <v>347</v>
      </c>
      <c r="B348">
        <v>877424657</v>
      </c>
      <c r="C348" t="s">
        <v>9</v>
      </c>
      <c r="D348" t="s">
        <v>10</v>
      </c>
      <c r="E348" s="1">
        <v>42430</v>
      </c>
      <c r="F348">
        <f t="shared" si="5"/>
        <v>1</v>
      </c>
      <c r="G348" t="s">
        <v>15</v>
      </c>
      <c r="H348" t="s">
        <v>16</v>
      </c>
      <c r="I348">
        <v>8309</v>
      </c>
      <c r="J348">
        <v>1444685.83</v>
      </c>
    </row>
    <row r="349" spans="1:10" x14ac:dyDescent="0.3">
      <c r="A349">
        <v>348</v>
      </c>
      <c r="B349">
        <v>326714789</v>
      </c>
      <c r="C349" t="s">
        <v>36</v>
      </c>
      <c r="D349" t="s">
        <v>10</v>
      </c>
      <c r="E349" s="1">
        <v>42705</v>
      </c>
      <c r="F349">
        <f t="shared" si="5"/>
        <v>4</v>
      </c>
      <c r="G349" t="s">
        <v>56</v>
      </c>
      <c r="H349" t="s">
        <v>19</v>
      </c>
      <c r="I349">
        <v>1021</v>
      </c>
      <c r="J349">
        <v>169210.33</v>
      </c>
    </row>
    <row r="350" spans="1:10" x14ac:dyDescent="0.3">
      <c r="A350">
        <v>349</v>
      </c>
      <c r="B350">
        <v>243102395</v>
      </c>
      <c r="C350" t="s">
        <v>24</v>
      </c>
      <c r="D350" t="s">
        <v>10</v>
      </c>
      <c r="E350" s="1">
        <v>41365</v>
      </c>
      <c r="F350">
        <f t="shared" si="5"/>
        <v>2</v>
      </c>
      <c r="G350" t="s">
        <v>35</v>
      </c>
      <c r="H350" t="s">
        <v>19</v>
      </c>
      <c r="I350">
        <v>8256</v>
      </c>
      <c r="J350">
        <v>19896.96</v>
      </c>
    </row>
    <row r="351" spans="1:10" x14ac:dyDescent="0.3">
      <c r="A351">
        <v>350</v>
      </c>
      <c r="B351">
        <v>398511302</v>
      </c>
      <c r="C351" t="s">
        <v>36</v>
      </c>
      <c r="D351" t="s">
        <v>10</v>
      </c>
      <c r="E351" s="1">
        <v>42795</v>
      </c>
      <c r="F351">
        <f t="shared" si="5"/>
        <v>1</v>
      </c>
      <c r="G351" t="s">
        <v>58</v>
      </c>
      <c r="H351" t="s">
        <v>26</v>
      </c>
      <c r="I351">
        <v>7205</v>
      </c>
      <c r="J351">
        <v>1194084.6499999999</v>
      </c>
    </row>
    <row r="352" spans="1:10" x14ac:dyDescent="0.3">
      <c r="A352">
        <v>351</v>
      </c>
      <c r="B352">
        <v>185177838</v>
      </c>
      <c r="C352" t="s">
        <v>43</v>
      </c>
      <c r="D352" t="s">
        <v>10</v>
      </c>
      <c r="E352" s="1">
        <v>40695</v>
      </c>
      <c r="F352">
        <f t="shared" si="5"/>
        <v>2</v>
      </c>
      <c r="G352" t="s">
        <v>56</v>
      </c>
      <c r="H352" t="s">
        <v>19</v>
      </c>
      <c r="I352">
        <v>7092</v>
      </c>
      <c r="J352">
        <v>177725.52</v>
      </c>
    </row>
    <row r="353" spans="1:10" x14ac:dyDescent="0.3">
      <c r="A353">
        <v>352</v>
      </c>
      <c r="B353">
        <v>865650832</v>
      </c>
      <c r="C353" t="s">
        <v>43</v>
      </c>
      <c r="D353" t="s">
        <v>10</v>
      </c>
      <c r="E353" s="1">
        <v>41579</v>
      </c>
      <c r="F353">
        <f t="shared" si="5"/>
        <v>4</v>
      </c>
      <c r="G353" t="s">
        <v>52</v>
      </c>
      <c r="H353" t="s">
        <v>19</v>
      </c>
      <c r="I353">
        <v>4173</v>
      </c>
      <c r="J353">
        <v>104575.38</v>
      </c>
    </row>
    <row r="354" spans="1:10" x14ac:dyDescent="0.3">
      <c r="A354">
        <v>353</v>
      </c>
      <c r="B354">
        <v>622791612</v>
      </c>
      <c r="C354" t="s">
        <v>20</v>
      </c>
      <c r="D354" t="s">
        <v>10</v>
      </c>
      <c r="E354" s="1">
        <v>41395</v>
      </c>
      <c r="F354">
        <f t="shared" si="5"/>
        <v>2</v>
      </c>
      <c r="G354" t="s">
        <v>52</v>
      </c>
      <c r="H354" t="s">
        <v>19</v>
      </c>
      <c r="I354">
        <v>6733</v>
      </c>
      <c r="J354">
        <v>596476.47</v>
      </c>
    </row>
    <row r="355" spans="1:10" x14ac:dyDescent="0.3">
      <c r="A355">
        <v>354</v>
      </c>
      <c r="B355">
        <v>409774005</v>
      </c>
      <c r="C355" t="s">
        <v>43</v>
      </c>
      <c r="D355" t="s">
        <v>14</v>
      </c>
      <c r="E355" s="1">
        <v>40483</v>
      </c>
      <c r="F355">
        <f t="shared" si="5"/>
        <v>4</v>
      </c>
      <c r="G355" t="s">
        <v>57</v>
      </c>
      <c r="H355" t="s">
        <v>16</v>
      </c>
      <c r="I355">
        <v>89</v>
      </c>
      <c r="J355">
        <v>2230.34</v>
      </c>
    </row>
    <row r="356" spans="1:10" x14ac:dyDescent="0.3">
      <c r="A356">
        <v>355</v>
      </c>
      <c r="B356">
        <v>800084340</v>
      </c>
      <c r="C356" t="s">
        <v>40</v>
      </c>
      <c r="D356" t="s">
        <v>14</v>
      </c>
      <c r="E356" s="1">
        <v>42430</v>
      </c>
      <c r="F356">
        <f t="shared" si="5"/>
        <v>1</v>
      </c>
      <c r="G356" t="s">
        <v>15</v>
      </c>
      <c r="H356" t="s">
        <v>16</v>
      </c>
      <c r="I356">
        <v>1591</v>
      </c>
      <c r="J356">
        <v>200863.75</v>
      </c>
    </row>
    <row r="357" spans="1:10" x14ac:dyDescent="0.3">
      <c r="A357">
        <v>356</v>
      </c>
      <c r="B357">
        <v>637521445</v>
      </c>
      <c r="C357" t="s">
        <v>34</v>
      </c>
      <c r="D357" t="s">
        <v>10</v>
      </c>
      <c r="E357" s="1">
        <v>41487</v>
      </c>
      <c r="F357">
        <f t="shared" si="5"/>
        <v>3</v>
      </c>
      <c r="G357" t="s">
        <v>44</v>
      </c>
      <c r="H357" t="s">
        <v>26</v>
      </c>
      <c r="I357">
        <v>5618</v>
      </c>
      <c r="J357">
        <v>309776.52</v>
      </c>
    </row>
    <row r="358" spans="1:10" x14ac:dyDescent="0.3">
      <c r="A358">
        <v>357</v>
      </c>
      <c r="B358">
        <v>186196649</v>
      </c>
      <c r="C358" t="s">
        <v>41</v>
      </c>
      <c r="D358" t="s">
        <v>14</v>
      </c>
      <c r="E358" s="1">
        <v>40634</v>
      </c>
      <c r="F358">
        <f t="shared" si="5"/>
        <v>2</v>
      </c>
      <c r="G358" t="s">
        <v>56</v>
      </c>
      <c r="H358" t="s">
        <v>19</v>
      </c>
      <c r="I358">
        <v>8581</v>
      </c>
      <c r="J358">
        <v>134378.46</v>
      </c>
    </row>
    <row r="359" spans="1:10" x14ac:dyDescent="0.3">
      <c r="A359">
        <v>358</v>
      </c>
      <c r="B359">
        <v>680533778</v>
      </c>
      <c r="C359" t="s">
        <v>17</v>
      </c>
      <c r="D359" t="s">
        <v>10</v>
      </c>
      <c r="E359" s="1">
        <v>41821</v>
      </c>
      <c r="F359">
        <f t="shared" si="5"/>
        <v>3</v>
      </c>
      <c r="G359" t="s">
        <v>32</v>
      </c>
      <c r="H359" t="s">
        <v>26</v>
      </c>
      <c r="I359">
        <v>3923</v>
      </c>
      <c r="J359">
        <v>376058.78</v>
      </c>
    </row>
    <row r="360" spans="1:10" x14ac:dyDescent="0.3">
      <c r="A360">
        <v>359</v>
      </c>
      <c r="B360">
        <v>275269162</v>
      </c>
      <c r="C360" t="s">
        <v>41</v>
      </c>
      <c r="D360" t="s">
        <v>14</v>
      </c>
      <c r="E360" s="1">
        <v>41883</v>
      </c>
      <c r="F360">
        <f t="shared" si="5"/>
        <v>3</v>
      </c>
      <c r="G360" t="s">
        <v>49</v>
      </c>
      <c r="H360" t="s">
        <v>19</v>
      </c>
      <c r="I360">
        <v>7117</v>
      </c>
      <c r="J360">
        <v>111452.22</v>
      </c>
    </row>
    <row r="361" spans="1:10" x14ac:dyDescent="0.3">
      <c r="A361">
        <v>360</v>
      </c>
      <c r="B361">
        <v>795451629</v>
      </c>
      <c r="C361" t="s">
        <v>36</v>
      </c>
      <c r="D361" t="s">
        <v>14</v>
      </c>
      <c r="E361" s="1">
        <v>42156</v>
      </c>
      <c r="F361">
        <f t="shared" si="5"/>
        <v>2</v>
      </c>
      <c r="G361" t="s">
        <v>18</v>
      </c>
      <c r="H361" t="s">
        <v>19</v>
      </c>
      <c r="I361">
        <v>668</v>
      </c>
      <c r="J361">
        <v>110707.64</v>
      </c>
    </row>
    <row r="362" spans="1:10" x14ac:dyDescent="0.3">
      <c r="A362">
        <v>361</v>
      </c>
      <c r="B362">
        <v>986442506</v>
      </c>
      <c r="C362" t="s">
        <v>20</v>
      </c>
      <c r="D362" t="s">
        <v>10</v>
      </c>
      <c r="E362" s="1">
        <v>41609</v>
      </c>
      <c r="F362">
        <f t="shared" si="5"/>
        <v>4</v>
      </c>
      <c r="G362" t="s">
        <v>46</v>
      </c>
      <c r="H362" t="s">
        <v>28</v>
      </c>
      <c r="I362">
        <v>9113</v>
      </c>
      <c r="J362">
        <v>807320.67</v>
      </c>
    </row>
    <row r="363" spans="1:10" x14ac:dyDescent="0.3">
      <c r="A363">
        <v>362</v>
      </c>
      <c r="B363">
        <v>563915622</v>
      </c>
      <c r="C363" t="s">
        <v>20</v>
      </c>
      <c r="D363" t="s">
        <v>10</v>
      </c>
      <c r="E363" s="1">
        <v>41030</v>
      </c>
      <c r="F363">
        <f t="shared" si="5"/>
        <v>2</v>
      </c>
      <c r="G363" t="s">
        <v>56</v>
      </c>
      <c r="H363" t="s">
        <v>19</v>
      </c>
      <c r="I363">
        <v>4019</v>
      </c>
      <c r="J363">
        <v>356043.21</v>
      </c>
    </row>
    <row r="364" spans="1:10" x14ac:dyDescent="0.3">
      <c r="A364">
        <v>363</v>
      </c>
      <c r="B364">
        <v>663857305</v>
      </c>
      <c r="C364" t="s">
        <v>9</v>
      </c>
      <c r="D364" t="s">
        <v>10</v>
      </c>
      <c r="E364" s="1">
        <v>41548</v>
      </c>
      <c r="F364">
        <f t="shared" si="5"/>
        <v>4</v>
      </c>
      <c r="G364" t="s">
        <v>33</v>
      </c>
      <c r="H364" t="s">
        <v>12</v>
      </c>
      <c r="I364">
        <v>8984</v>
      </c>
      <c r="J364">
        <v>1562048.08</v>
      </c>
    </row>
    <row r="365" spans="1:10" x14ac:dyDescent="0.3">
      <c r="A365">
        <v>364</v>
      </c>
      <c r="B365">
        <v>692566382</v>
      </c>
      <c r="C365" t="s">
        <v>24</v>
      </c>
      <c r="D365" t="s">
        <v>14</v>
      </c>
      <c r="E365" s="1">
        <v>40544</v>
      </c>
      <c r="F365">
        <f t="shared" si="5"/>
        <v>1</v>
      </c>
      <c r="G365" t="s">
        <v>52</v>
      </c>
      <c r="H365" t="s">
        <v>19</v>
      </c>
      <c r="I365">
        <v>4638</v>
      </c>
      <c r="J365">
        <v>11177.58</v>
      </c>
    </row>
    <row r="366" spans="1:10" x14ac:dyDescent="0.3">
      <c r="A366">
        <v>365</v>
      </c>
      <c r="B366">
        <v>576654183</v>
      </c>
      <c r="C366" t="s">
        <v>36</v>
      </c>
      <c r="D366" t="s">
        <v>10</v>
      </c>
      <c r="E366" s="1">
        <v>41306</v>
      </c>
      <c r="F366">
        <f t="shared" si="5"/>
        <v>1</v>
      </c>
      <c r="G366" t="s">
        <v>32</v>
      </c>
      <c r="H366" t="s">
        <v>26</v>
      </c>
      <c r="I366">
        <v>3642</v>
      </c>
      <c r="J366">
        <v>603588.66</v>
      </c>
    </row>
    <row r="367" spans="1:10" x14ac:dyDescent="0.3">
      <c r="A367">
        <v>366</v>
      </c>
      <c r="B367">
        <v>313044536</v>
      </c>
      <c r="C367" t="s">
        <v>17</v>
      </c>
      <c r="D367" t="s">
        <v>10</v>
      </c>
      <c r="E367" s="1">
        <v>40603</v>
      </c>
      <c r="F367">
        <f t="shared" si="5"/>
        <v>1</v>
      </c>
      <c r="G367" t="s">
        <v>56</v>
      </c>
      <c r="H367" t="s">
        <v>19</v>
      </c>
      <c r="I367">
        <v>5689</v>
      </c>
      <c r="J367">
        <v>545347.54</v>
      </c>
    </row>
    <row r="368" spans="1:10" x14ac:dyDescent="0.3">
      <c r="A368">
        <v>367</v>
      </c>
      <c r="B368">
        <v>418973767</v>
      </c>
      <c r="C368" t="s">
        <v>43</v>
      </c>
      <c r="D368" t="s">
        <v>10</v>
      </c>
      <c r="E368" s="1">
        <v>41183</v>
      </c>
      <c r="F368">
        <f t="shared" si="5"/>
        <v>4</v>
      </c>
      <c r="G368" t="s">
        <v>15</v>
      </c>
      <c r="H368" t="s">
        <v>16</v>
      </c>
      <c r="I368">
        <v>2503</v>
      </c>
      <c r="J368">
        <v>62725.18</v>
      </c>
    </row>
    <row r="369" spans="1:10" x14ac:dyDescent="0.3">
      <c r="A369">
        <v>368</v>
      </c>
      <c r="B369">
        <v>581990706</v>
      </c>
      <c r="C369" t="s">
        <v>41</v>
      </c>
      <c r="D369" t="s">
        <v>14</v>
      </c>
      <c r="E369" s="1">
        <v>41913</v>
      </c>
      <c r="F369">
        <f t="shared" si="5"/>
        <v>4</v>
      </c>
      <c r="G369" t="s">
        <v>59</v>
      </c>
      <c r="H369" t="s">
        <v>19</v>
      </c>
      <c r="I369">
        <v>2838</v>
      </c>
      <c r="J369">
        <v>44443.08</v>
      </c>
    </row>
    <row r="370" spans="1:10" x14ac:dyDescent="0.3">
      <c r="A370">
        <v>369</v>
      </c>
      <c r="B370">
        <v>109956681</v>
      </c>
      <c r="C370" t="s">
        <v>17</v>
      </c>
      <c r="D370" t="s">
        <v>14</v>
      </c>
      <c r="E370" s="1">
        <v>42186</v>
      </c>
      <c r="F370">
        <f t="shared" si="5"/>
        <v>3</v>
      </c>
      <c r="G370" t="s">
        <v>42</v>
      </c>
      <c r="H370" t="s">
        <v>26</v>
      </c>
      <c r="I370">
        <v>7480</v>
      </c>
      <c r="J370">
        <v>717032.8</v>
      </c>
    </row>
    <row r="371" spans="1:10" x14ac:dyDescent="0.3">
      <c r="A371">
        <v>370</v>
      </c>
      <c r="B371">
        <v>181045520</v>
      </c>
      <c r="C371" t="s">
        <v>20</v>
      </c>
      <c r="D371" t="s">
        <v>14</v>
      </c>
      <c r="E371" s="1">
        <v>40299</v>
      </c>
      <c r="F371">
        <f t="shared" si="5"/>
        <v>2</v>
      </c>
      <c r="G371" t="s">
        <v>32</v>
      </c>
      <c r="H371" t="s">
        <v>26</v>
      </c>
      <c r="I371">
        <v>4247</v>
      </c>
      <c r="J371">
        <v>376241.73</v>
      </c>
    </row>
    <row r="372" spans="1:10" x14ac:dyDescent="0.3">
      <c r="A372">
        <v>371</v>
      </c>
      <c r="B372">
        <v>693743550</v>
      </c>
      <c r="C372" t="s">
        <v>13</v>
      </c>
      <c r="D372" t="s">
        <v>14</v>
      </c>
      <c r="E372" s="1">
        <v>40483</v>
      </c>
      <c r="F372">
        <f t="shared" si="5"/>
        <v>4</v>
      </c>
      <c r="G372" t="s">
        <v>55</v>
      </c>
      <c r="H372" t="s">
        <v>26</v>
      </c>
      <c r="I372">
        <v>2988</v>
      </c>
      <c r="J372">
        <v>188632.44</v>
      </c>
    </row>
    <row r="373" spans="1:10" x14ac:dyDescent="0.3">
      <c r="A373">
        <v>372</v>
      </c>
      <c r="B373">
        <v>716849601</v>
      </c>
      <c r="C373" t="s">
        <v>30</v>
      </c>
      <c r="D373" t="s">
        <v>10</v>
      </c>
      <c r="E373" s="1">
        <v>40513</v>
      </c>
      <c r="F373">
        <f t="shared" si="5"/>
        <v>4</v>
      </c>
      <c r="G373" t="s">
        <v>57</v>
      </c>
      <c r="H373" t="s">
        <v>16</v>
      </c>
      <c r="I373">
        <v>582</v>
      </c>
      <c r="J373">
        <v>42742.080000000002</v>
      </c>
    </row>
    <row r="374" spans="1:10" x14ac:dyDescent="0.3">
      <c r="A374">
        <v>373</v>
      </c>
      <c r="B374">
        <v>739474999</v>
      </c>
      <c r="C374" t="s">
        <v>9</v>
      </c>
      <c r="D374" t="s">
        <v>14</v>
      </c>
      <c r="E374" s="1">
        <v>41244</v>
      </c>
      <c r="F374">
        <f t="shared" si="5"/>
        <v>4</v>
      </c>
      <c r="G374" t="s">
        <v>39</v>
      </c>
      <c r="H374" t="s">
        <v>28</v>
      </c>
      <c r="I374">
        <v>5940</v>
      </c>
      <c r="J374">
        <v>1032787.8</v>
      </c>
    </row>
    <row r="375" spans="1:10" x14ac:dyDescent="0.3">
      <c r="A375">
        <v>374</v>
      </c>
      <c r="B375">
        <v>421043574</v>
      </c>
      <c r="C375" t="s">
        <v>43</v>
      </c>
      <c r="D375" t="s">
        <v>14</v>
      </c>
      <c r="E375" s="1">
        <v>42583</v>
      </c>
      <c r="F375">
        <f t="shared" si="5"/>
        <v>3</v>
      </c>
      <c r="G375" t="s">
        <v>56</v>
      </c>
      <c r="H375" t="s">
        <v>19</v>
      </c>
      <c r="I375">
        <v>5005</v>
      </c>
      <c r="J375">
        <v>125425.3</v>
      </c>
    </row>
    <row r="376" spans="1:10" x14ac:dyDescent="0.3">
      <c r="A376">
        <v>375</v>
      </c>
      <c r="B376">
        <v>841291654</v>
      </c>
      <c r="C376" t="s">
        <v>43</v>
      </c>
      <c r="D376" t="s">
        <v>14</v>
      </c>
      <c r="E376" s="1">
        <v>42036</v>
      </c>
      <c r="F376">
        <f t="shared" si="5"/>
        <v>1</v>
      </c>
      <c r="G376" t="s">
        <v>31</v>
      </c>
      <c r="H376" t="s">
        <v>19</v>
      </c>
      <c r="I376">
        <v>5751</v>
      </c>
      <c r="J376">
        <v>144120.06</v>
      </c>
    </row>
    <row r="377" spans="1:10" x14ac:dyDescent="0.3">
      <c r="A377">
        <v>376</v>
      </c>
      <c r="B377">
        <v>450268065</v>
      </c>
      <c r="C377" t="s">
        <v>20</v>
      </c>
      <c r="D377" t="s">
        <v>10</v>
      </c>
      <c r="E377" s="1">
        <v>41609</v>
      </c>
      <c r="F377">
        <f t="shared" si="5"/>
        <v>4</v>
      </c>
      <c r="G377" t="s">
        <v>49</v>
      </c>
      <c r="H377" t="s">
        <v>19</v>
      </c>
      <c r="I377">
        <v>3181</v>
      </c>
      <c r="J377">
        <v>281804.78999999998</v>
      </c>
    </row>
    <row r="378" spans="1:10" x14ac:dyDescent="0.3">
      <c r="A378">
        <v>377</v>
      </c>
      <c r="B378">
        <v>918334138</v>
      </c>
      <c r="C378" t="s">
        <v>47</v>
      </c>
      <c r="D378" t="s">
        <v>14</v>
      </c>
      <c r="E378" s="1">
        <v>41030</v>
      </c>
      <c r="F378">
        <f t="shared" si="5"/>
        <v>2</v>
      </c>
      <c r="G378" t="s">
        <v>25</v>
      </c>
      <c r="H378" t="s">
        <v>26</v>
      </c>
      <c r="I378">
        <v>4334</v>
      </c>
      <c r="J378">
        <v>247904.8</v>
      </c>
    </row>
    <row r="379" spans="1:10" x14ac:dyDescent="0.3">
      <c r="A379">
        <v>378</v>
      </c>
      <c r="B379">
        <v>386163699</v>
      </c>
      <c r="C379" t="s">
        <v>47</v>
      </c>
      <c r="D379" t="s">
        <v>10</v>
      </c>
      <c r="E379" s="1">
        <v>41699</v>
      </c>
      <c r="F379">
        <f t="shared" si="5"/>
        <v>1</v>
      </c>
      <c r="G379" t="s">
        <v>35</v>
      </c>
      <c r="H379" t="s">
        <v>19</v>
      </c>
      <c r="I379">
        <v>3275</v>
      </c>
      <c r="J379">
        <v>187330</v>
      </c>
    </row>
    <row r="380" spans="1:10" x14ac:dyDescent="0.3">
      <c r="A380">
        <v>379</v>
      </c>
      <c r="B380">
        <v>214743077</v>
      </c>
      <c r="C380" t="s">
        <v>43</v>
      </c>
      <c r="D380" t="s">
        <v>10</v>
      </c>
      <c r="E380" s="1">
        <v>42736</v>
      </c>
      <c r="F380">
        <f t="shared" si="5"/>
        <v>1</v>
      </c>
      <c r="G380" t="s">
        <v>44</v>
      </c>
      <c r="H380" t="s">
        <v>26</v>
      </c>
      <c r="I380">
        <v>6103</v>
      </c>
      <c r="J380">
        <v>152941.18</v>
      </c>
    </row>
    <row r="381" spans="1:10" x14ac:dyDescent="0.3">
      <c r="A381">
        <v>380</v>
      </c>
      <c r="B381">
        <v>935371100</v>
      </c>
      <c r="C381" t="s">
        <v>17</v>
      </c>
      <c r="D381" t="s">
        <v>14</v>
      </c>
      <c r="E381" s="1">
        <v>42156</v>
      </c>
      <c r="F381">
        <f t="shared" si="5"/>
        <v>2</v>
      </c>
      <c r="G381" t="s">
        <v>45</v>
      </c>
      <c r="H381" t="s">
        <v>12</v>
      </c>
      <c r="I381">
        <v>5949</v>
      </c>
      <c r="J381">
        <v>570271.14</v>
      </c>
    </row>
    <row r="382" spans="1:10" x14ac:dyDescent="0.3">
      <c r="A382">
        <v>381</v>
      </c>
      <c r="B382">
        <v>899659097</v>
      </c>
      <c r="C382" t="s">
        <v>9</v>
      </c>
      <c r="D382" t="s">
        <v>10</v>
      </c>
      <c r="E382" s="1">
        <v>41214</v>
      </c>
      <c r="F382">
        <f t="shared" si="5"/>
        <v>4</v>
      </c>
      <c r="G382" t="s">
        <v>11</v>
      </c>
      <c r="H382" t="s">
        <v>12</v>
      </c>
      <c r="I382">
        <v>7974</v>
      </c>
      <c r="J382">
        <v>1386439.38</v>
      </c>
    </row>
    <row r="383" spans="1:10" x14ac:dyDescent="0.3">
      <c r="A383">
        <v>382</v>
      </c>
      <c r="B383">
        <v>329530894</v>
      </c>
      <c r="C383" t="s">
        <v>13</v>
      </c>
      <c r="D383" t="s">
        <v>14</v>
      </c>
      <c r="E383" s="1">
        <v>40179</v>
      </c>
      <c r="F383">
        <f t="shared" si="5"/>
        <v>1</v>
      </c>
      <c r="G383" t="s">
        <v>15</v>
      </c>
      <c r="H383" t="s">
        <v>16</v>
      </c>
      <c r="I383">
        <v>4369</v>
      </c>
      <c r="J383">
        <v>275814.96999999997</v>
      </c>
    </row>
    <row r="384" spans="1:10" x14ac:dyDescent="0.3">
      <c r="A384">
        <v>383</v>
      </c>
      <c r="B384">
        <v>867222821</v>
      </c>
      <c r="C384" t="s">
        <v>47</v>
      </c>
      <c r="D384" t="s">
        <v>14</v>
      </c>
      <c r="E384" s="1">
        <v>42370</v>
      </c>
      <c r="F384">
        <f t="shared" si="5"/>
        <v>1</v>
      </c>
      <c r="G384" t="s">
        <v>35</v>
      </c>
      <c r="H384" t="s">
        <v>19</v>
      </c>
      <c r="I384">
        <v>9359</v>
      </c>
      <c r="J384">
        <v>535334.80000000005</v>
      </c>
    </row>
    <row r="385" spans="1:10" x14ac:dyDescent="0.3">
      <c r="A385">
        <v>384</v>
      </c>
      <c r="B385">
        <v>625283706</v>
      </c>
      <c r="C385" t="s">
        <v>41</v>
      </c>
      <c r="D385" t="s">
        <v>14</v>
      </c>
      <c r="E385" s="1">
        <v>41913</v>
      </c>
      <c r="F385">
        <f t="shared" si="5"/>
        <v>4</v>
      </c>
      <c r="G385" t="s">
        <v>51</v>
      </c>
      <c r="H385" t="s">
        <v>26</v>
      </c>
      <c r="I385">
        <v>4199</v>
      </c>
      <c r="J385">
        <v>65756.34</v>
      </c>
    </row>
    <row r="386" spans="1:10" x14ac:dyDescent="0.3">
      <c r="A386">
        <v>385</v>
      </c>
      <c r="B386">
        <v>936574876</v>
      </c>
      <c r="C386" t="s">
        <v>40</v>
      </c>
      <c r="D386" t="s">
        <v>10</v>
      </c>
      <c r="E386" s="1">
        <v>41609</v>
      </c>
      <c r="F386">
        <f t="shared" ref="F386:F449" si="6">ROUNDUP(MONTH(E386)/3,0)</f>
        <v>4</v>
      </c>
      <c r="G386" t="s">
        <v>21</v>
      </c>
      <c r="H386" t="s">
        <v>19</v>
      </c>
      <c r="I386">
        <v>2173</v>
      </c>
      <c r="J386">
        <v>274341.25</v>
      </c>
    </row>
    <row r="387" spans="1:10" x14ac:dyDescent="0.3">
      <c r="A387">
        <v>386</v>
      </c>
      <c r="B387">
        <v>504270160</v>
      </c>
      <c r="C387" t="s">
        <v>20</v>
      </c>
      <c r="D387" t="s">
        <v>10</v>
      </c>
      <c r="E387" s="1">
        <v>40452</v>
      </c>
      <c r="F387">
        <f t="shared" si="6"/>
        <v>4</v>
      </c>
      <c r="G387" t="s">
        <v>35</v>
      </c>
      <c r="H387" t="s">
        <v>19</v>
      </c>
      <c r="I387">
        <v>3601</v>
      </c>
      <c r="J387">
        <v>319012.59000000003</v>
      </c>
    </row>
    <row r="388" spans="1:10" x14ac:dyDescent="0.3">
      <c r="A388">
        <v>387</v>
      </c>
      <c r="B388">
        <v>351855885</v>
      </c>
      <c r="C388" t="s">
        <v>43</v>
      </c>
      <c r="D388" t="s">
        <v>10</v>
      </c>
      <c r="E388" s="1">
        <v>40664</v>
      </c>
      <c r="F388">
        <f t="shared" si="6"/>
        <v>2</v>
      </c>
      <c r="G388" t="s">
        <v>15</v>
      </c>
      <c r="H388" t="s">
        <v>16</v>
      </c>
      <c r="I388">
        <v>830</v>
      </c>
      <c r="J388">
        <v>20799.8</v>
      </c>
    </row>
    <row r="389" spans="1:10" x14ac:dyDescent="0.3">
      <c r="A389">
        <v>388</v>
      </c>
      <c r="B389">
        <v>673130881</v>
      </c>
      <c r="C389" t="s">
        <v>34</v>
      </c>
      <c r="D389" t="s">
        <v>14</v>
      </c>
      <c r="E389" s="1">
        <v>40603</v>
      </c>
      <c r="F389">
        <f t="shared" si="6"/>
        <v>1</v>
      </c>
      <c r="G389" t="s">
        <v>53</v>
      </c>
      <c r="H389" t="s">
        <v>16</v>
      </c>
      <c r="I389">
        <v>3241</v>
      </c>
      <c r="J389">
        <v>178708.74</v>
      </c>
    </row>
    <row r="390" spans="1:10" x14ac:dyDescent="0.3">
      <c r="A390">
        <v>389</v>
      </c>
      <c r="B390">
        <v>382206475</v>
      </c>
      <c r="C390" t="s">
        <v>40</v>
      </c>
      <c r="D390" t="s">
        <v>10</v>
      </c>
      <c r="E390" s="1">
        <v>41883</v>
      </c>
      <c r="F390">
        <f t="shared" si="6"/>
        <v>3</v>
      </c>
      <c r="G390" t="s">
        <v>59</v>
      </c>
      <c r="H390" t="s">
        <v>19</v>
      </c>
      <c r="I390">
        <v>2244</v>
      </c>
      <c r="J390">
        <v>283305</v>
      </c>
    </row>
    <row r="391" spans="1:10" x14ac:dyDescent="0.3">
      <c r="A391">
        <v>390</v>
      </c>
      <c r="B391">
        <v>263506495</v>
      </c>
      <c r="C391" t="s">
        <v>20</v>
      </c>
      <c r="D391" t="s">
        <v>14</v>
      </c>
      <c r="E391" s="1">
        <v>42339</v>
      </c>
      <c r="F391">
        <f t="shared" si="6"/>
        <v>4</v>
      </c>
      <c r="G391" t="s">
        <v>35</v>
      </c>
      <c r="H391" t="s">
        <v>19</v>
      </c>
      <c r="I391">
        <v>6283</v>
      </c>
      <c r="J391">
        <v>556610.97</v>
      </c>
    </row>
    <row r="392" spans="1:10" x14ac:dyDescent="0.3">
      <c r="A392">
        <v>391</v>
      </c>
      <c r="B392">
        <v>721767270</v>
      </c>
      <c r="C392" t="s">
        <v>20</v>
      </c>
      <c r="D392" t="s">
        <v>10</v>
      </c>
      <c r="E392" s="1">
        <v>42887</v>
      </c>
      <c r="F392">
        <f t="shared" si="6"/>
        <v>2</v>
      </c>
      <c r="G392" t="s">
        <v>33</v>
      </c>
      <c r="H392" t="s">
        <v>12</v>
      </c>
      <c r="I392">
        <v>5829</v>
      </c>
      <c r="J392">
        <v>516391.11</v>
      </c>
    </row>
    <row r="393" spans="1:10" x14ac:dyDescent="0.3">
      <c r="A393">
        <v>392</v>
      </c>
      <c r="B393">
        <v>432037627</v>
      </c>
      <c r="C393" t="s">
        <v>9</v>
      </c>
      <c r="D393" t="s">
        <v>14</v>
      </c>
      <c r="E393" s="1">
        <v>40756</v>
      </c>
      <c r="F393">
        <f t="shared" si="6"/>
        <v>3</v>
      </c>
      <c r="G393" t="s">
        <v>27</v>
      </c>
      <c r="H393" t="s">
        <v>28</v>
      </c>
      <c r="I393">
        <v>8390</v>
      </c>
      <c r="J393">
        <v>1458769.3</v>
      </c>
    </row>
    <row r="394" spans="1:10" x14ac:dyDescent="0.3">
      <c r="A394">
        <v>393</v>
      </c>
      <c r="B394">
        <v>389678895</v>
      </c>
      <c r="C394" t="s">
        <v>47</v>
      </c>
      <c r="D394" t="s">
        <v>10</v>
      </c>
      <c r="E394" s="1">
        <v>41821</v>
      </c>
      <c r="F394">
        <f t="shared" si="6"/>
        <v>3</v>
      </c>
      <c r="G394" t="s">
        <v>11</v>
      </c>
      <c r="H394" t="s">
        <v>12</v>
      </c>
      <c r="I394">
        <v>3499</v>
      </c>
      <c r="J394">
        <v>200142.8</v>
      </c>
    </row>
    <row r="395" spans="1:10" x14ac:dyDescent="0.3">
      <c r="A395">
        <v>394</v>
      </c>
      <c r="B395">
        <v>760364902</v>
      </c>
      <c r="C395" t="s">
        <v>47</v>
      </c>
      <c r="D395" t="s">
        <v>14</v>
      </c>
      <c r="E395" s="1">
        <v>42736</v>
      </c>
      <c r="F395">
        <f t="shared" si="6"/>
        <v>1</v>
      </c>
      <c r="G395" t="s">
        <v>27</v>
      </c>
      <c r="H395" t="s">
        <v>28</v>
      </c>
      <c r="I395">
        <v>7726</v>
      </c>
      <c r="J395">
        <v>441927.2</v>
      </c>
    </row>
    <row r="396" spans="1:10" x14ac:dyDescent="0.3">
      <c r="A396">
        <v>395</v>
      </c>
      <c r="B396">
        <v>430081975</v>
      </c>
      <c r="C396" t="s">
        <v>24</v>
      </c>
      <c r="D396" t="s">
        <v>10</v>
      </c>
      <c r="E396" s="1">
        <v>40483</v>
      </c>
      <c r="F396">
        <f t="shared" si="6"/>
        <v>4</v>
      </c>
      <c r="G396" t="s">
        <v>49</v>
      </c>
      <c r="H396" t="s">
        <v>19</v>
      </c>
      <c r="I396">
        <v>9669</v>
      </c>
      <c r="J396">
        <v>23302.29</v>
      </c>
    </row>
    <row r="397" spans="1:10" x14ac:dyDescent="0.3">
      <c r="A397">
        <v>396</v>
      </c>
      <c r="B397">
        <v>155128943</v>
      </c>
      <c r="C397" t="s">
        <v>17</v>
      </c>
      <c r="D397" t="s">
        <v>14</v>
      </c>
      <c r="E397" s="1">
        <v>42064</v>
      </c>
      <c r="F397">
        <f t="shared" si="6"/>
        <v>1</v>
      </c>
      <c r="G397" t="s">
        <v>11</v>
      </c>
      <c r="H397" t="s">
        <v>12</v>
      </c>
      <c r="I397">
        <v>4957</v>
      </c>
      <c r="J397">
        <v>475178.02</v>
      </c>
    </row>
    <row r="398" spans="1:10" x14ac:dyDescent="0.3">
      <c r="A398">
        <v>397</v>
      </c>
      <c r="B398">
        <v>312117135</v>
      </c>
      <c r="C398" t="s">
        <v>30</v>
      </c>
      <c r="D398" t="s">
        <v>10</v>
      </c>
      <c r="E398" s="1">
        <v>41183</v>
      </c>
      <c r="F398">
        <f t="shared" si="6"/>
        <v>4</v>
      </c>
      <c r="G398" t="s">
        <v>59</v>
      </c>
      <c r="H398" t="s">
        <v>19</v>
      </c>
      <c r="I398">
        <v>1251</v>
      </c>
      <c r="J398">
        <v>91873.44</v>
      </c>
    </row>
    <row r="399" spans="1:10" x14ac:dyDescent="0.3">
      <c r="A399">
        <v>398</v>
      </c>
      <c r="B399">
        <v>447970378</v>
      </c>
      <c r="C399" t="s">
        <v>47</v>
      </c>
      <c r="D399" t="s">
        <v>10</v>
      </c>
      <c r="E399" s="1">
        <v>41456</v>
      </c>
      <c r="F399">
        <f t="shared" si="6"/>
        <v>3</v>
      </c>
      <c r="G399" t="s">
        <v>39</v>
      </c>
      <c r="H399" t="s">
        <v>28</v>
      </c>
      <c r="I399">
        <v>3245</v>
      </c>
      <c r="J399">
        <v>185614</v>
      </c>
    </row>
    <row r="400" spans="1:10" x14ac:dyDescent="0.3">
      <c r="A400">
        <v>399</v>
      </c>
      <c r="B400">
        <v>629925000</v>
      </c>
      <c r="C400" t="s">
        <v>9</v>
      </c>
      <c r="D400" t="s">
        <v>10</v>
      </c>
      <c r="E400" s="1">
        <v>41487</v>
      </c>
      <c r="F400">
        <f t="shared" si="6"/>
        <v>3</v>
      </c>
      <c r="G400" t="s">
        <v>31</v>
      </c>
      <c r="H400" t="s">
        <v>19</v>
      </c>
      <c r="I400">
        <v>7661</v>
      </c>
      <c r="J400">
        <v>1332018.07</v>
      </c>
    </row>
    <row r="401" spans="1:10" x14ac:dyDescent="0.3">
      <c r="A401">
        <v>400</v>
      </c>
      <c r="B401">
        <v>995529830</v>
      </c>
      <c r="C401" t="s">
        <v>43</v>
      </c>
      <c r="D401" t="s">
        <v>10</v>
      </c>
      <c r="E401" s="1">
        <v>41579</v>
      </c>
      <c r="F401">
        <f t="shared" si="6"/>
        <v>4</v>
      </c>
      <c r="G401" t="s">
        <v>50</v>
      </c>
      <c r="H401" t="s">
        <v>16</v>
      </c>
      <c r="I401">
        <v>8254</v>
      </c>
      <c r="J401">
        <v>206845.24</v>
      </c>
    </row>
    <row r="402" spans="1:10" x14ac:dyDescent="0.3">
      <c r="A402">
        <v>401</v>
      </c>
      <c r="B402">
        <v>402646195</v>
      </c>
      <c r="C402" t="s">
        <v>40</v>
      </c>
      <c r="D402" t="s">
        <v>14</v>
      </c>
      <c r="E402" s="1">
        <v>42430</v>
      </c>
      <c r="F402">
        <f t="shared" si="6"/>
        <v>1</v>
      </c>
      <c r="G402" t="s">
        <v>44</v>
      </c>
      <c r="H402" t="s">
        <v>26</v>
      </c>
      <c r="I402">
        <v>812</v>
      </c>
      <c r="J402">
        <v>102515</v>
      </c>
    </row>
    <row r="403" spans="1:10" x14ac:dyDescent="0.3">
      <c r="A403">
        <v>402</v>
      </c>
      <c r="B403">
        <v>479447925</v>
      </c>
      <c r="C403" t="s">
        <v>47</v>
      </c>
      <c r="D403" t="s">
        <v>10</v>
      </c>
      <c r="E403" s="1">
        <v>40969</v>
      </c>
      <c r="F403">
        <f t="shared" si="6"/>
        <v>1</v>
      </c>
      <c r="G403" t="s">
        <v>53</v>
      </c>
      <c r="H403" t="s">
        <v>16</v>
      </c>
      <c r="I403">
        <v>8150</v>
      </c>
      <c r="J403">
        <v>466180</v>
      </c>
    </row>
    <row r="404" spans="1:10" x14ac:dyDescent="0.3">
      <c r="A404">
        <v>403</v>
      </c>
      <c r="B404">
        <v>674421346</v>
      </c>
      <c r="C404" t="s">
        <v>9</v>
      </c>
      <c r="D404" t="s">
        <v>10</v>
      </c>
      <c r="E404" s="1">
        <v>42887</v>
      </c>
      <c r="F404">
        <f t="shared" si="6"/>
        <v>2</v>
      </c>
      <c r="G404" t="s">
        <v>50</v>
      </c>
      <c r="H404" t="s">
        <v>16</v>
      </c>
      <c r="I404">
        <v>5118</v>
      </c>
      <c r="J404">
        <v>889866.66</v>
      </c>
    </row>
    <row r="405" spans="1:10" x14ac:dyDescent="0.3">
      <c r="A405">
        <v>404</v>
      </c>
      <c r="B405">
        <v>506365287</v>
      </c>
      <c r="C405" t="s">
        <v>9</v>
      </c>
      <c r="D405" t="s">
        <v>14</v>
      </c>
      <c r="E405" s="1">
        <v>41730</v>
      </c>
      <c r="F405">
        <f t="shared" si="6"/>
        <v>2</v>
      </c>
      <c r="G405" t="s">
        <v>51</v>
      </c>
      <c r="H405" t="s">
        <v>26</v>
      </c>
      <c r="I405">
        <v>3596</v>
      </c>
      <c r="J405">
        <v>625236.52</v>
      </c>
    </row>
    <row r="406" spans="1:10" x14ac:dyDescent="0.3">
      <c r="A406">
        <v>405</v>
      </c>
      <c r="B406">
        <v>914391076</v>
      </c>
      <c r="C406" t="s">
        <v>30</v>
      </c>
      <c r="D406" t="s">
        <v>14</v>
      </c>
      <c r="E406" s="1">
        <v>42522</v>
      </c>
      <c r="F406">
        <f t="shared" si="6"/>
        <v>2</v>
      </c>
      <c r="G406" t="s">
        <v>32</v>
      </c>
      <c r="H406" t="s">
        <v>26</v>
      </c>
      <c r="I406">
        <v>7494</v>
      </c>
      <c r="J406">
        <v>550359.36</v>
      </c>
    </row>
    <row r="407" spans="1:10" x14ac:dyDescent="0.3">
      <c r="A407">
        <v>406</v>
      </c>
      <c r="B407">
        <v>207922542</v>
      </c>
      <c r="C407" t="s">
        <v>47</v>
      </c>
      <c r="D407" t="s">
        <v>14</v>
      </c>
      <c r="E407" s="1">
        <v>41030</v>
      </c>
      <c r="F407">
        <f t="shared" si="6"/>
        <v>2</v>
      </c>
      <c r="G407" t="s">
        <v>57</v>
      </c>
      <c r="H407" t="s">
        <v>16</v>
      </c>
      <c r="I407">
        <v>7755</v>
      </c>
      <c r="J407">
        <v>443586</v>
      </c>
    </row>
    <row r="408" spans="1:10" x14ac:dyDescent="0.3">
      <c r="A408">
        <v>407</v>
      </c>
      <c r="B408">
        <v>816696012</v>
      </c>
      <c r="C408" t="s">
        <v>40</v>
      </c>
      <c r="D408" t="s">
        <v>10</v>
      </c>
      <c r="E408" s="1">
        <v>41671</v>
      </c>
      <c r="F408">
        <f t="shared" si="6"/>
        <v>1</v>
      </c>
      <c r="G408" t="s">
        <v>21</v>
      </c>
      <c r="H408" t="s">
        <v>19</v>
      </c>
      <c r="I408">
        <v>7353</v>
      </c>
      <c r="J408">
        <v>928316.25</v>
      </c>
    </row>
    <row r="409" spans="1:10" x14ac:dyDescent="0.3">
      <c r="A409">
        <v>408</v>
      </c>
      <c r="B409">
        <v>740760314</v>
      </c>
      <c r="C409" t="s">
        <v>41</v>
      </c>
      <c r="D409" t="s">
        <v>10</v>
      </c>
      <c r="E409" s="1">
        <v>42309</v>
      </c>
      <c r="F409">
        <f t="shared" si="6"/>
        <v>4</v>
      </c>
      <c r="G409" t="s">
        <v>25</v>
      </c>
      <c r="H409" t="s">
        <v>26</v>
      </c>
      <c r="I409">
        <v>6293</v>
      </c>
      <c r="J409">
        <v>98548.38</v>
      </c>
    </row>
    <row r="410" spans="1:10" x14ac:dyDescent="0.3">
      <c r="A410">
        <v>409</v>
      </c>
      <c r="B410">
        <v>300476777</v>
      </c>
      <c r="C410" t="s">
        <v>17</v>
      </c>
      <c r="D410" t="s">
        <v>14</v>
      </c>
      <c r="E410" s="1">
        <v>41275</v>
      </c>
      <c r="F410">
        <f t="shared" si="6"/>
        <v>1</v>
      </c>
      <c r="G410" t="s">
        <v>44</v>
      </c>
      <c r="H410" t="s">
        <v>26</v>
      </c>
      <c r="I410">
        <v>6610</v>
      </c>
      <c r="J410">
        <v>633634.6</v>
      </c>
    </row>
    <row r="411" spans="1:10" x14ac:dyDescent="0.3">
      <c r="A411">
        <v>410</v>
      </c>
      <c r="B411">
        <v>786519229</v>
      </c>
      <c r="C411" t="s">
        <v>34</v>
      </c>
      <c r="D411" t="s">
        <v>14</v>
      </c>
      <c r="E411" s="1">
        <v>41365</v>
      </c>
      <c r="F411">
        <f t="shared" si="6"/>
        <v>2</v>
      </c>
      <c r="G411" t="s">
        <v>11</v>
      </c>
      <c r="H411" t="s">
        <v>12</v>
      </c>
      <c r="I411">
        <v>7373</v>
      </c>
      <c r="J411">
        <v>406547.22</v>
      </c>
    </row>
    <row r="412" spans="1:10" x14ac:dyDescent="0.3">
      <c r="A412">
        <v>411</v>
      </c>
      <c r="B412">
        <v>409873998</v>
      </c>
      <c r="C412" t="s">
        <v>9</v>
      </c>
      <c r="D412" t="s">
        <v>10</v>
      </c>
      <c r="E412" s="1">
        <v>40299</v>
      </c>
      <c r="F412">
        <f t="shared" si="6"/>
        <v>2</v>
      </c>
      <c r="G412" t="s">
        <v>42</v>
      </c>
      <c r="H412" t="s">
        <v>26</v>
      </c>
      <c r="I412">
        <v>9679</v>
      </c>
      <c r="J412">
        <v>1682887.73</v>
      </c>
    </row>
    <row r="413" spans="1:10" x14ac:dyDescent="0.3">
      <c r="A413">
        <v>412</v>
      </c>
      <c r="B413">
        <v>151839911</v>
      </c>
      <c r="C413" t="s">
        <v>9</v>
      </c>
      <c r="D413" t="s">
        <v>10</v>
      </c>
      <c r="E413" s="1">
        <v>40269</v>
      </c>
      <c r="F413">
        <f t="shared" si="6"/>
        <v>2</v>
      </c>
      <c r="G413" t="s">
        <v>39</v>
      </c>
      <c r="H413" t="s">
        <v>28</v>
      </c>
      <c r="I413">
        <v>1659</v>
      </c>
      <c r="J413">
        <v>288450.33</v>
      </c>
    </row>
    <row r="414" spans="1:10" x14ac:dyDescent="0.3">
      <c r="A414">
        <v>413</v>
      </c>
      <c r="B414">
        <v>614028298</v>
      </c>
      <c r="C414" t="s">
        <v>13</v>
      </c>
      <c r="D414" t="s">
        <v>14</v>
      </c>
      <c r="E414" s="1">
        <v>41122</v>
      </c>
      <c r="F414">
        <f t="shared" si="6"/>
        <v>3</v>
      </c>
      <c r="G414" t="s">
        <v>45</v>
      </c>
      <c r="H414" t="s">
        <v>12</v>
      </c>
      <c r="I414">
        <v>3473</v>
      </c>
      <c r="J414">
        <v>219250.49</v>
      </c>
    </row>
    <row r="415" spans="1:10" x14ac:dyDescent="0.3">
      <c r="A415">
        <v>414</v>
      </c>
      <c r="B415">
        <v>668362987</v>
      </c>
      <c r="C415" t="s">
        <v>36</v>
      </c>
      <c r="D415" t="s">
        <v>10</v>
      </c>
      <c r="E415" s="1">
        <v>41730</v>
      </c>
      <c r="F415">
        <f t="shared" si="6"/>
        <v>2</v>
      </c>
      <c r="G415" t="s">
        <v>33</v>
      </c>
      <c r="H415" t="s">
        <v>12</v>
      </c>
      <c r="I415">
        <v>2315</v>
      </c>
      <c r="J415">
        <v>383664.95</v>
      </c>
    </row>
    <row r="416" spans="1:10" x14ac:dyDescent="0.3">
      <c r="A416">
        <v>415</v>
      </c>
      <c r="B416">
        <v>607080304</v>
      </c>
      <c r="C416" t="s">
        <v>36</v>
      </c>
      <c r="D416" t="s">
        <v>14</v>
      </c>
      <c r="E416" s="1">
        <v>41306</v>
      </c>
      <c r="F416">
        <f t="shared" si="6"/>
        <v>1</v>
      </c>
      <c r="G416" t="s">
        <v>31</v>
      </c>
      <c r="H416" t="s">
        <v>19</v>
      </c>
      <c r="I416">
        <v>7408</v>
      </c>
      <c r="J416">
        <v>1227727.8400000001</v>
      </c>
    </row>
    <row r="417" spans="1:10" x14ac:dyDescent="0.3">
      <c r="A417">
        <v>416</v>
      </c>
      <c r="B417">
        <v>792729079</v>
      </c>
      <c r="C417" t="s">
        <v>17</v>
      </c>
      <c r="D417" t="s">
        <v>14</v>
      </c>
      <c r="E417" s="1">
        <v>40878</v>
      </c>
      <c r="F417">
        <f t="shared" si="6"/>
        <v>4</v>
      </c>
      <c r="G417" t="s">
        <v>32</v>
      </c>
      <c r="H417" t="s">
        <v>26</v>
      </c>
      <c r="I417">
        <v>5006</v>
      </c>
      <c r="J417">
        <v>479875.16</v>
      </c>
    </row>
    <row r="418" spans="1:10" x14ac:dyDescent="0.3">
      <c r="A418">
        <v>417</v>
      </c>
      <c r="B418">
        <v>308170640</v>
      </c>
      <c r="C418" t="s">
        <v>17</v>
      </c>
      <c r="D418" t="s">
        <v>10</v>
      </c>
      <c r="E418" s="1">
        <v>41852</v>
      </c>
      <c r="F418">
        <f t="shared" si="6"/>
        <v>3</v>
      </c>
      <c r="G418" t="s">
        <v>51</v>
      </c>
      <c r="H418" t="s">
        <v>26</v>
      </c>
      <c r="I418">
        <v>3395</v>
      </c>
      <c r="J418">
        <v>325444.7</v>
      </c>
    </row>
    <row r="419" spans="1:10" x14ac:dyDescent="0.3">
      <c r="A419">
        <v>418</v>
      </c>
      <c r="B419">
        <v>106578814</v>
      </c>
      <c r="C419" t="s">
        <v>13</v>
      </c>
      <c r="D419" t="s">
        <v>14</v>
      </c>
      <c r="E419" s="1">
        <v>41852</v>
      </c>
      <c r="F419">
        <f t="shared" si="6"/>
        <v>3</v>
      </c>
      <c r="G419" t="s">
        <v>59</v>
      </c>
      <c r="H419" t="s">
        <v>19</v>
      </c>
      <c r="I419">
        <v>7894</v>
      </c>
      <c r="J419">
        <v>498348.22</v>
      </c>
    </row>
    <row r="420" spans="1:10" x14ac:dyDescent="0.3">
      <c r="A420">
        <v>419</v>
      </c>
      <c r="B420">
        <v>761439931</v>
      </c>
      <c r="C420" t="s">
        <v>20</v>
      </c>
      <c r="D420" t="s">
        <v>14</v>
      </c>
      <c r="E420" s="1">
        <v>41699</v>
      </c>
      <c r="F420">
        <f t="shared" si="6"/>
        <v>1</v>
      </c>
      <c r="G420" t="s">
        <v>18</v>
      </c>
      <c r="H420" t="s">
        <v>19</v>
      </c>
      <c r="I420">
        <v>5851</v>
      </c>
      <c r="J420">
        <v>518340.09</v>
      </c>
    </row>
    <row r="421" spans="1:10" x14ac:dyDescent="0.3">
      <c r="A421">
        <v>420</v>
      </c>
      <c r="B421">
        <v>216552817</v>
      </c>
      <c r="C421" t="s">
        <v>36</v>
      </c>
      <c r="D421" t="s">
        <v>14</v>
      </c>
      <c r="E421" s="1">
        <v>41153</v>
      </c>
      <c r="F421">
        <f t="shared" si="6"/>
        <v>3</v>
      </c>
      <c r="G421" t="s">
        <v>25</v>
      </c>
      <c r="H421" t="s">
        <v>26</v>
      </c>
      <c r="I421">
        <v>1646</v>
      </c>
      <c r="J421">
        <v>272791.58</v>
      </c>
    </row>
    <row r="422" spans="1:10" x14ac:dyDescent="0.3">
      <c r="A422">
        <v>421</v>
      </c>
      <c r="B422">
        <v>536028802</v>
      </c>
      <c r="C422" t="s">
        <v>24</v>
      </c>
      <c r="D422" t="s">
        <v>14</v>
      </c>
      <c r="E422" s="1">
        <v>40422</v>
      </c>
      <c r="F422">
        <f t="shared" si="6"/>
        <v>3</v>
      </c>
      <c r="G422" t="s">
        <v>56</v>
      </c>
      <c r="H422" t="s">
        <v>19</v>
      </c>
      <c r="I422">
        <v>1689</v>
      </c>
      <c r="J422">
        <v>4070.49</v>
      </c>
    </row>
    <row r="423" spans="1:10" x14ac:dyDescent="0.3">
      <c r="A423">
        <v>422</v>
      </c>
      <c r="B423">
        <v>254291713</v>
      </c>
      <c r="C423" t="s">
        <v>41</v>
      </c>
      <c r="D423" t="s">
        <v>14</v>
      </c>
      <c r="E423" s="1">
        <v>41487</v>
      </c>
      <c r="F423">
        <f t="shared" si="6"/>
        <v>3</v>
      </c>
      <c r="G423" t="s">
        <v>53</v>
      </c>
      <c r="H423" t="s">
        <v>16</v>
      </c>
      <c r="I423">
        <v>9424</v>
      </c>
      <c r="J423">
        <v>147579.84</v>
      </c>
    </row>
    <row r="424" spans="1:10" x14ac:dyDescent="0.3">
      <c r="A424">
        <v>423</v>
      </c>
      <c r="B424">
        <v>226077878</v>
      </c>
      <c r="C424" t="s">
        <v>43</v>
      </c>
      <c r="D424" t="s">
        <v>14</v>
      </c>
      <c r="E424" s="1">
        <v>41153</v>
      </c>
      <c r="F424">
        <f t="shared" si="6"/>
        <v>3</v>
      </c>
      <c r="G424" t="s">
        <v>15</v>
      </c>
      <c r="H424" t="s">
        <v>16</v>
      </c>
      <c r="I424">
        <v>323</v>
      </c>
      <c r="J424">
        <v>8094.38</v>
      </c>
    </row>
    <row r="425" spans="1:10" x14ac:dyDescent="0.3">
      <c r="A425">
        <v>424</v>
      </c>
      <c r="B425">
        <v>476436126</v>
      </c>
      <c r="C425" t="s">
        <v>40</v>
      </c>
      <c r="D425" t="s">
        <v>10</v>
      </c>
      <c r="E425" s="1">
        <v>40756</v>
      </c>
      <c r="F425">
        <f t="shared" si="6"/>
        <v>3</v>
      </c>
      <c r="G425" t="s">
        <v>50</v>
      </c>
      <c r="H425" t="s">
        <v>16</v>
      </c>
      <c r="I425">
        <v>6892</v>
      </c>
      <c r="J425">
        <v>870115</v>
      </c>
    </row>
    <row r="426" spans="1:10" x14ac:dyDescent="0.3">
      <c r="A426">
        <v>425</v>
      </c>
      <c r="B426">
        <v>650727784</v>
      </c>
      <c r="C426" t="s">
        <v>9</v>
      </c>
      <c r="D426" t="s">
        <v>10</v>
      </c>
      <c r="E426" s="1">
        <v>42095</v>
      </c>
      <c r="F426">
        <f t="shared" si="6"/>
        <v>2</v>
      </c>
      <c r="G426" t="s">
        <v>53</v>
      </c>
      <c r="H426" t="s">
        <v>16</v>
      </c>
      <c r="I426">
        <v>3667</v>
      </c>
      <c r="J426">
        <v>637581.29</v>
      </c>
    </row>
    <row r="427" spans="1:10" x14ac:dyDescent="0.3">
      <c r="A427">
        <v>426</v>
      </c>
      <c r="B427">
        <v>464626681</v>
      </c>
      <c r="C427" t="s">
        <v>36</v>
      </c>
      <c r="D427" t="s">
        <v>10</v>
      </c>
      <c r="E427" s="1">
        <v>40360</v>
      </c>
      <c r="F427">
        <f t="shared" si="6"/>
        <v>3</v>
      </c>
      <c r="G427" t="s">
        <v>35</v>
      </c>
      <c r="H427" t="s">
        <v>19</v>
      </c>
      <c r="I427">
        <v>2215</v>
      </c>
      <c r="J427">
        <v>367091.95</v>
      </c>
    </row>
    <row r="428" spans="1:10" x14ac:dyDescent="0.3">
      <c r="A428">
        <v>427</v>
      </c>
      <c r="B428">
        <v>154119145</v>
      </c>
      <c r="C428" t="s">
        <v>47</v>
      </c>
      <c r="D428" t="s">
        <v>10</v>
      </c>
      <c r="E428" s="1">
        <v>42217</v>
      </c>
      <c r="F428">
        <f t="shared" si="6"/>
        <v>3</v>
      </c>
      <c r="G428" t="s">
        <v>54</v>
      </c>
      <c r="H428" t="s">
        <v>16</v>
      </c>
      <c r="I428">
        <v>6135</v>
      </c>
      <c r="J428">
        <v>350922</v>
      </c>
    </row>
    <row r="429" spans="1:10" x14ac:dyDescent="0.3">
      <c r="A429">
        <v>428</v>
      </c>
      <c r="B429">
        <v>925504004</v>
      </c>
      <c r="C429" t="s">
        <v>47</v>
      </c>
      <c r="D429" t="s">
        <v>14</v>
      </c>
      <c r="E429" s="1">
        <v>42278</v>
      </c>
      <c r="F429">
        <f t="shared" si="6"/>
        <v>4</v>
      </c>
      <c r="G429" t="s">
        <v>15</v>
      </c>
      <c r="H429" t="s">
        <v>16</v>
      </c>
      <c r="I429">
        <v>6057</v>
      </c>
      <c r="J429">
        <v>346460.4</v>
      </c>
    </row>
    <row r="430" spans="1:10" x14ac:dyDescent="0.3">
      <c r="A430">
        <v>429</v>
      </c>
      <c r="B430">
        <v>905392587</v>
      </c>
      <c r="C430" t="s">
        <v>20</v>
      </c>
      <c r="D430" t="s">
        <v>10</v>
      </c>
      <c r="E430" s="1">
        <v>41091</v>
      </c>
      <c r="F430">
        <f t="shared" si="6"/>
        <v>3</v>
      </c>
      <c r="G430" t="s">
        <v>39</v>
      </c>
      <c r="H430" t="s">
        <v>28</v>
      </c>
      <c r="I430">
        <v>4641</v>
      </c>
      <c r="J430">
        <v>411146.19</v>
      </c>
    </row>
    <row r="431" spans="1:10" x14ac:dyDescent="0.3">
      <c r="A431">
        <v>430</v>
      </c>
      <c r="B431">
        <v>990708720</v>
      </c>
      <c r="C431" t="s">
        <v>34</v>
      </c>
      <c r="D431" t="s">
        <v>14</v>
      </c>
      <c r="E431" s="1">
        <v>40969</v>
      </c>
      <c r="F431">
        <f t="shared" si="6"/>
        <v>1</v>
      </c>
      <c r="G431" t="s">
        <v>38</v>
      </c>
      <c r="H431" t="s">
        <v>16</v>
      </c>
      <c r="I431">
        <v>1581</v>
      </c>
      <c r="J431">
        <v>87176.34</v>
      </c>
    </row>
    <row r="432" spans="1:10" x14ac:dyDescent="0.3">
      <c r="A432">
        <v>431</v>
      </c>
      <c r="B432">
        <v>798688733</v>
      </c>
      <c r="C432" t="s">
        <v>17</v>
      </c>
      <c r="D432" t="s">
        <v>14</v>
      </c>
      <c r="E432" s="1">
        <v>41852</v>
      </c>
      <c r="F432">
        <f t="shared" si="6"/>
        <v>3</v>
      </c>
      <c r="G432" t="s">
        <v>50</v>
      </c>
      <c r="H432" t="s">
        <v>16</v>
      </c>
      <c r="I432">
        <v>8600</v>
      </c>
      <c r="J432">
        <v>824396</v>
      </c>
    </row>
    <row r="433" spans="1:10" x14ac:dyDescent="0.3">
      <c r="A433">
        <v>432</v>
      </c>
      <c r="B433">
        <v>916881453</v>
      </c>
      <c r="C433" t="s">
        <v>20</v>
      </c>
      <c r="D433" t="s">
        <v>10</v>
      </c>
      <c r="E433" s="1">
        <v>42644</v>
      </c>
      <c r="F433">
        <f t="shared" si="6"/>
        <v>4</v>
      </c>
      <c r="G433" t="s">
        <v>56</v>
      </c>
      <c r="H433" t="s">
        <v>19</v>
      </c>
      <c r="I433">
        <v>4452</v>
      </c>
      <c r="J433">
        <v>394402.68</v>
      </c>
    </row>
    <row r="434" spans="1:10" x14ac:dyDescent="0.3">
      <c r="A434">
        <v>433</v>
      </c>
      <c r="B434">
        <v>653148210</v>
      </c>
      <c r="C434" t="s">
        <v>9</v>
      </c>
      <c r="D434" t="s">
        <v>10</v>
      </c>
      <c r="E434" s="1">
        <v>42705</v>
      </c>
      <c r="F434">
        <f t="shared" si="6"/>
        <v>4</v>
      </c>
      <c r="G434" t="s">
        <v>33</v>
      </c>
      <c r="H434" t="s">
        <v>12</v>
      </c>
      <c r="I434">
        <v>9924</v>
      </c>
      <c r="J434">
        <v>1725485.88</v>
      </c>
    </row>
    <row r="435" spans="1:10" x14ac:dyDescent="0.3">
      <c r="A435">
        <v>434</v>
      </c>
      <c r="B435">
        <v>285662829</v>
      </c>
      <c r="C435" t="s">
        <v>43</v>
      </c>
      <c r="D435" t="s">
        <v>10</v>
      </c>
      <c r="E435" s="1">
        <v>40330</v>
      </c>
      <c r="F435">
        <f t="shared" si="6"/>
        <v>2</v>
      </c>
      <c r="G435" t="s">
        <v>37</v>
      </c>
      <c r="H435" t="s">
        <v>26</v>
      </c>
      <c r="I435">
        <v>2834</v>
      </c>
      <c r="J435">
        <v>71020.039999999994</v>
      </c>
    </row>
    <row r="436" spans="1:10" x14ac:dyDescent="0.3">
      <c r="A436">
        <v>435</v>
      </c>
      <c r="B436">
        <v>612911641</v>
      </c>
      <c r="C436" t="s">
        <v>13</v>
      </c>
      <c r="D436" t="s">
        <v>14</v>
      </c>
      <c r="E436" s="1">
        <v>42552</v>
      </c>
      <c r="F436">
        <f t="shared" si="6"/>
        <v>3</v>
      </c>
      <c r="G436" t="s">
        <v>59</v>
      </c>
      <c r="H436" t="s">
        <v>19</v>
      </c>
      <c r="I436">
        <v>3030</v>
      </c>
      <c r="J436">
        <v>191283.9</v>
      </c>
    </row>
    <row r="437" spans="1:10" x14ac:dyDescent="0.3">
      <c r="A437">
        <v>436</v>
      </c>
      <c r="B437">
        <v>703693473</v>
      </c>
      <c r="C437" t="s">
        <v>40</v>
      </c>
      <c r="D437" t="s">
        <v>10</v>
      </c>
      <c r="E437" s="1">
        <v>41609</v>
      </c>
      <c r="F437">
        <f t="shared" si="6"/>
        <v>4</v>
      </c>
      <c r="G437" t="s">
        <v>58</v>
      </c>
      <c r="H437" t="s">
        <v>26</v>
      </c>
      <c r="I437">
        <v>7391</v>
      </c>
      <c r="J437">
        <v>933113.75</v>
      </c>
    </row>
    <row r="438" spans="1:10" x14ac:dyDescent="0.3">
      <c r="A438">
        <v>437</v>
      </c>
      <c r="B438">
        <v>147119653</v>
      </c>
      <c r="C438" t="s">
        <v>30</v>
      </c>
      <c r="D438" t="s">
        <v>14</v>
      </c>
      <c r="E438" s="1">
        <v>41091</v>
      </c>
      <c r="F438">
        <f t="shared" si="6"/>
        <v>3</v>
      </c>
      <c r="G438" t="s">
        <v>39</v>
      </c>
      <c r="H438" t="s">
        <v>28</v>
      </c>
      <c r="I438">
        <v>4829</v>
      </c>
      <c r="J438">
        <v>354641.76</v>
      </c>
    </row>
    <row r="439" spans="1:10" x14ac:dyDescent="0.3">
      <c r="A439">
        <v>438</v>
      </c>
      <c r="B439">
        <v>402614009</v>
      </c>
      <c r="C439" t="s">
        <v>24</v>
      </c>
      <c r="D439" t="s">
        <v>14</v>
      </c>
      <c r="E439" s="1">
        <v>40909</v>
      </c>
      <c r="F439">
        <f t="shared" si="6"/>
        <v>1</v>
      </c>
      <c r="G439" t="s">
        <v>39</v>
      </c>
      <c r="H439" t="s">
        <v>28</v>
      </c>
      <c r="I439">
        <v>1287</v>
      </c>
      <c r="J439">
        <v>3101.67</v>
      </c>
    </row>
    <row r="440" spans="1:10" x14ac:dyDescent="0.3">
      <c r="A440">
        <v>439</v>
      </c>
      <c r="B440">
        <v>749912869</v>
      </c>
      <c r="C440" t="s">
        <v>43</v>
      </c>
      <c r="D440" t="s">
        <v>14</v>
      </c>
      <c r="E440" s="1">
        <v>41334</v>
      </c>
      <c r="F440">
        <f t="shared" si="6"/>
        <v>1</v>
      </c>
      <c r="G440" t="s">
        <v>57</v>
      </c>
      <c r="H440" t="s">
        <v>16</v>
      </c>
      <c r="I440">
        <v>4738</v>
      </c>
      <c r="J440">
        <v>118734.28</v>
      </c>
    </row>
    <row r="441" spans="1:10" x14ac:dyDescent="0.3">
      <c r="A441">
        <v>440</v>
      </c>
      <c r="B441">
        <v>539065062</v>
      </c>
      <c r="C441" t="s">
        <v>36</v>
      </c>
      <c r="D441" t="s">
        <v>14</v>
      </c>
      <c r="E441" s="1">
        <v>41671</v>
      </c>
      <c r="F441">
        <f t="shared" si="6"/>
        <v>1</v>
      </c>
      <c r="G441" t="s">
        <v>42</v>
      </c>
      <c r="H441" t="s">
        <v>26</v>
      </c>
      <c r="I441">
        <v>186</v>
      </c>
      <c r="J441">
        <v>30825.78</v>
      </c>
    </row>
    <row r="442" spans="1:10" x14ac:dyDescent="0.3">
      <c r="A442">
        <v>441</v>
      </c>
      <c r="B442">
        <v>540431916</v>
      </c>
      <c r="C442" t="s">
        <v>34</v>
      </c>
      <c r="D442" t="s">
        <v>10</v>
      </c>
      <c r="E442" s="1">
        <v>41548</v>
      </c>
      <c r="F442">
        <f t="shared" si="6"/>
        <v>4</v>
      </c>
      <c r="G442" t="s">
        <v>35</v>
      </c>
      <c r="H442" t="s">
        <v>19</v>
      </c>
      <c r="I442">
        <v>4668</v>
      </c>
      <c r="J442">
        <v>257393.52</v>
      </c>
    </row>
    <row r="443" spans="1:10" x14ac:dyDescent="0.3">
      <c r="A443">
        <v>442</v>
      </c>
      <c r="B443">
        <v>694687259</v>
      </c>
      <c r="C443" t="s">
        <v>41</v>
      </c>
      <c r="D443" t="s">
        <v>14</v>
      </c>
      <c r="E443" s="1">
        <v>42461</v>
      </c>
      <c r="F443">
        <f t="shared" si="6"/>
        <v>2</v>
      </c>
      <c r="G443" t="s">
        <v>42</v>
      </c>
      <c r="H443" t="s">
        <v>26</v>
      </c>
      <c r="I443">
        <v>2252</v>
      </c>
      <c r="J443">
        <v>35266.32</v>
      </c>
    </row>
    <row r="444" spans="1:10" x14ac:dyDescent="0.3">
      <c r="A444">
        <v>443</v>
      </c>
      <c r="B444">
        <v>562817418</v>
      </c>
      <c r="C444" t="s">
        <v>9</v>
      </c>
      <c r="D444" t="s">
        <v>10</v>
      </c>
      <c r="E444" s="1">
        <v>40664</v>
      </c>
      <c r="F444">
        <f t="shared" si="6"/>
        <v>2</v>
      </c>
      <c r="G444" t="s">
        <v>31</v>
      </c>
      <c r="H444" t="s">
        <v>19</v>
      </c>
      <c r="I444">
        <v>9036</v>
      </c>
      <c r="J444">
        <v>1571089.32</v>
      </c>
    </row>
    <row r="445" spans="1:10" x14ac:dyDescent="0.3">
      <c r="A445">
        <v>444</v>
      </c>
      <c r="B445">
        <v>676121222</v>
      </c>
      <c r="C445" t="s">
        <v>20</v>
      </c>
      <c r="D445" t="s">
        <v>14</v>
      </c>
      <c r="E445" s="1">
        <v>42583</v>
      </c>
      <c r="F445">
        <f t="shared" si="6"/>
        <v>3</v>
      </c>
      <c r="G445" t="s">
        <v>18</v>
      </c>
      <c r="H445" t="s">
        <v>19</v>
      </c>
      <c r="I445">
        <v>8149</v>
      </c>
      <c r="J445">
        <v>721919.91</v>
      </c>
    </row>
    <row r="446" spans="1:10" x14ac:dyDescent="0.3">
      <c r="A446">
        <v>445</v>
      </c>
      <c r="B446">
        <v>286210000</v>
      </c>
      <c r="C446" t="s">
        <v>34</v>
      </c>
      <c r="D446" t="s">
        <v>10</v>
      </c>
      <c r="E446" s="1">
        <v>41091</v>
      </c>
      <c r="F446">
        <f t="shared" si="6"/>
        <v>3</v>
      </c>
      <c r="G446" t="s">
        <v>15</v>
      </c>
      <c r="H446" t="s">
        <v>16</v>
      </c>
      <c r="I446">
        <v>4754</v>
      </c>
      <c r="J446">
        <v>262135.56</v>
      </c>
    </row>
    <row r="447" spans="1:10" x14ac:dyDescent="0.3">
      <c r="A447">
        <v>446</v>
      </c>
      <c r="B447">
        <v>515007579</v>
      </c>
      <c r="C447" t="s">
        <v>41</v>
      </c>
      <c r="D447" t="s">
        <v>14</v>
      </c>
      <c r="E447" s="1">
        <v>41974</v>
      </c>
      <c r="F447">
        <f t="shared" si="6"/>
        <v>4</v>
      </c>
      <c r="G447" t="s">
        <v>57</v>
      </c>
      <c r="H447" t="s">
        <v>16</v>
      </c>
      <c r="I447">
        <v>1042</v>
      </c>
      <c r="J447">
        <v>16317.72</v>
      </c>
    </row>
    <row r="448" spans="1:10" x14ac:dyDescent="0.3">
      <c r="A448">
        <v>447</v>
      </c>
      <c r="B448">
        <v>304750287</v>
      </c>
      <c r="C448" t="s">
        <v>9</v>
      </c>
      <c r="D448" t="s">
        <v>10</v>
      </c>
      <c r="E448" s="1">
        <v>40299</v>
      </c>
      <c r="F448">
        <f t="shared" si="6"/>
        <v>2</v>
      </c>
      <c r="G448" t="s">
        <v>39</v>
      </c>
      <c r="H448" t="s">
        <v>28</v>
      </c>
      <c r="I448">
        <v>1237</v>
      </c>
      <c r="J448">
        <v>215077.19</v>
      </c>
    </row>
    <row r="449" spans="1:10" x14ac:dyDescent="0.3">
      <c r="A449">
        <v>448</v>
      </c>
      <c r="B449">
        <v>467986953</v>
      </c>
      <c r="C449" t="s">
        <v>41</v>
      </c>
      <c r="D449" t="s">
        <v>14</v>
      </c>
      <c r="E449" s="1">
        <v>41306</v>
      </c>
      <c r="F449">
        <f t="shared" si="6"/>
        <v>1</v>
      </c>
      <c r="G449" t="s">
        <v>48</v>
      </c>
      <c r="H449" t="s">
        <v>16</v>
      </c>
      <c r="I449">
        <v>6594</v>
      </c>
      <c r="J449">
        <v>103262.04</v>
      </c>
    </row>
    <row r="450" spans="1:10" x14ac:dyDescent="0.3">
      <c r="A450">
        <v>449</v>
      </c>
      <c r="B450">
        <v>537578904</v>
      </c>
      <c r="C450" t="s">
        <v>41</v>
      </c>
      <c r="D450" t="s">
        <v>10</v>
      </c>
      <c r="E450" s="1">
        <v>42156</v>
      </c>
      <c r="F450">
        <f t="shared" ref="F450:F513" si="7">ROUNDUP(MONTH(E450)/3,0)</f>
        <v>2</v>
      </c>
      <c r="G450" t="s">
        <v>55</v>
      </c>
      <c r="H450" t="s">
        <v>26</v>
      </c>
      <c r="I450">
        <v>399</v>
      </c>
      <c r="J450">
        <v>6248.34</v>
      </c>
    </row>
    <row r="451" spans="1:10" x14ac:dyDescent="0.3">
      <c r="A451">
        <v>450</v>
      </c>
      <c r="B451">
        <v>116699969</v>
      </c>
      <c r="C451" t="s">
        <v>13</v>
      </c>
      <c r="D451" t="s">
        <v>10</v>
      </c>
      <c r="E451" s="1">
        <v>41913</v>
      </c>
      <c r="F451">
        <f t="shared" si="7"/>
        <v>4</v>
      </c>
      <c r="G451" t="s">
        <v>39</v>
      </c>
      <c r="H451" t="s">
        <v>28</v>
      </c>
      <c r="I451">
        <v>2969</v>
      </c>
      <c r="J451">
        <v>187432.97</v>
      </c>
    </row>
    <row r="452" spans="1:10" x14ac:dyDescent="0.3">
      <c r="A452">
        <v>451</v>
      </c>
      <c r="B452">
        <v>228836476</v>
      </c>
      <c r="C452" t="s">
        <v>34</v>
      </c>
      <c r="D452" t="s">
        <v>10</v>
      </c>
      <c r="E452" s="1">
        <v>42767</v>
      </c>
      <c r="F452">
        <f t="shared" si="7"/>
        <v>1</v>
      </c>
      <c r="G452" t="s">
        <v>48</v>
      </c>
      <c r="H452" t="s">
        <v>16</v>
      </c>
      <c r="I452">
        <v>6653</v>
      </c>
      <c r="J452">
        <v>366846.42</v>
      </c>
    </row>
    <row r="453" spans="1:10" x14ac:dyDescent="0.3">
      <c r="A453">
        <v>452</v>
      </c>
      <c r="B453">
        <v>167787253</v>
      </c>
      <c r="C453" t="s">
        <v>13</v>
      </c>
      <c r="D453" t="s">
        <v>10</v>
      </c>
      <c r="E453" s="1">
        <v>40330</v>
      </c>
      <c r="F453">
        <f t="shared" si="7"/>
        <v>2</v>
      </c>
      <c r="G453" t="s">
        <v>31</v>
      </c>
      <c r="H453" t="s">
        <v>19</v>
      </c>
      <c r="I453">
        <v>832</v>
      </c>
      <c r="J453">
        <v>52524.160000000003</v>
      </c>
    </row>
    <row r="454" spans="1:10" x14ac:dyDescent="0.3">
      <c r="A454">
        <v>453</v>
      </c>
      <c r="B454">
        <v>647663629</v>
      </c>
      <c r="C454" t="s">
        <v>13</v>
      </c>
      <c r="D454" t="s">
        <v>14</v>
      </c>
      <c r="E454" s="1">
        <v>41760</v>
      </c>
      <c r="F454">
        <f t="shared" si="7"/>
        <v>2</v>
      </c>
      <c r="G454" t="s">
        <v>57</v>
      </c>
      <c r="H454" t="s">
        <v>16</v>
      </c>
      <c r="I454">
        <v>6915</v>
      </c>
      <c r="J454">
        <v>436543.95</v>
      </c>
    </row>
    <row r="455" spans="1:10" x14ac:dyDescent="0.3">
      <c r="A455">
        <v>454</v>
      </c>
      <c r="B455">
        <v>652889430</v>
      </c>
      <c r="C455" t="s">
        <v>47</v>
      </c>
      <c r="D455" t="s">
        <v>10</v>
      </c>
      <c r="E455" s="1">
        <v>42064</v>
      </c>
      <c r="F455">
        <f t="shared" si="7"/>
        <v>1</v>
      </c>
      <c r="G455" t="s">
        <v>51</v>
      </c>
      <c r="H455" t="s">
        <v>26</v>
      </c>
      <c r="I455">
        <v>3346</v>
      </c>
      <c r="J455">
        <v>191391.2</v>
      </c>
    </row>
    <row r="456" spans="1:10" x14ac:dyDescent="0.3">
      <c r="A456">
        <v>455</v>
      </c>
      <c r="B456">
        <v>588200986</v>
      </c>
      <c r="C456" t="s">
        <v>40</v>
      </c>
      <c r="D456" t="s">
        <v>10</v>
      </c>
      <c r="E456" s="1">
        <v>42217</v>
      </c>
      <c r="F456">
        <f t="shared" si="7"/>
        <v>3</v>
      </c>
      <c r="G456" t="s">
        <v>35</v>
      </c>
      <c r="H456" t="s">
        <v>19</v>
      </c>
      <c r="I456">
        <v>598</v>
      </c>
      <c r="J456">
        <v>75497.5</v>
      </c>
    </row>
    <row r="457" spans="1:10" x14ac:dyDescent="0.3">
      <c r="A457">
        <v>456</v>
      </c>
      <c r="B457">
        <v>928647124</v>
      </c>
      <c r="C457" t="s">
        <v>43</v>
      </c>
      <c r="D457" t="s">
        <v>14</v>
      </c>
      <c r="E457" s="1">
        <v>42217</v>
      </c>
      <c r="F457">
        <f t="shared" si="7"/>
        <v>3</v>
      </c>
      <c r="G457" t="s">
        <v>55</v>
      </c>
      <c r="H457" t="s">
        <v>26</v>
      </c>
      <c r="I457">
        <v>6176</v>
      </c>
      <c r="J457">
        <v>154770.56</v>
      </c>
    </row>
    <row r="458" spans="1:10" x14ac:dyDescent="0.3">
      <c r="A458">
        <v>457</v>
      </c>
      <c r="B458">
        <v>869589173</v>
      </c>
      <c r="C458" t="s">
        <v>9</v>
      </c>
      <c r="D458" t="s">
        <v>10</v>
      </c>
      <c r="E458" s="1">
        <v>42401</v>
      </c>
      <c r="F458">
        <f t="shared" si="7"/>
        <v>1</v>
      </c>
      <c r="G458" t="s">
        <v>53</v>
      </c>
      <c r="H458" t="s">
        <v>16</v>
      </c>
      <c r="I458">
        <v>9615</v>
      </c>
      <c r="J458">
        <v>1671760.05</v>
      </c>
    </row>
    <row r="459" spans="1:10" x14ac:dyDescent="0.3">
      <c r="A459">
        <v>458</v>
      </c>
      <c r="B459">
        <v>576700961</v>
      </c>
      <c r="C459" t="s">
        <v>36</v>
      </c>
      <c r="D459" t="s">
        <v>14</v>
      </c>
      <c r="E459" s="1">
        <v>42156</v>
      </c>
      <c r="F459">
        <f t="shared" si="7"/>
        <v>2</v>
      </c>
      <c r="G459" t="s">
        <v>11</v>
      </c>
      <c r="H459" t="s">
        <v>12</v>
      </c>
      <c r="I459">
        <v>7485</v>
      </c>
      <c r="J459">
        <v>1240489.05</v>
      </c>
    </row>
    <row r="460" spans="1:10" x14ac:dyDescent="0.3">
      <c r="A460">
        <v>459</v>
      </c>
      <c r="B460">
        <v>735968816</v>
      </c>
      <c r="C460" t="s">
        <v>20</v>
      </c>
      <c r="D460" t="s">
        <v>10</v>
      </c>
      <c r="E460" s="1">
        <v>41214</v>
      </c>
      <c r="F460">
        <f t="shared" si="7"/>
        <v>4</v>
      </c>
      <c r="G460" t="s">
        <v>53</v>
      </c>
      <c r="H460" t="s">
        <v>16</v>
      </c>
      <c r="I460">
        <v>8382</v>
      </c>
      <c r="J460">
        <v>742561.38</v>
      </c>
    </row>
    <row r="461" spans="1:10" x14ac:dyDescent="0.3">
      <c r="A461">
        <v>460</v>
      </c>
      <c r="B461">
        <v>303691565</v>
      </c>
      <c r="C461" t="s">
        <v>34</v>
      </c>
      <c r="D461" t="s">
        <v>10</v>
      </c>
      <c r="E461" s="1">
        <v>41153</v>
      </c>
      <c r="F461">
        <f t="shared" si="7"/>
        <v>3</v>
      </c>
      <c r="G461" t="s">
        <v>11</v>
      </c>
      <c r="H461" t="s">
        <v>12</v>
      </c>
      <c r="I461">
        <v>7938</v>
      </c>
      <c r="J461">
        <v>437701.32</v>
      </c>
    </row>
    <row r="462" spans="1:10" x14ac:dyDescent="0.3">
      <c r="A462">
        <v>461</v>
      </c>
      <c r="B462">
        <v>556480538</v>
      </c>
      <c r="C462" t="s">
        <v>30</v>
      </c>
      <c r="D462" t="s">
        <v>10</v>
      </c>
      <c r="E462" s="1">
        <v>41061</v>
      </c>
      <c r="F462">
        <f t="shared" si="7"/>
        <v>2</v>
      </c>
      <c r="G462" t="s">
        <v>32</v>
      </c>
      <c r="H462" t="s">
        <v>26</v>
      </c>
      <c r="I462">
        <v>3812</v>
      </c>
      <c r="J462">
        <v>279953.28000000003</v>
      </c>
    </row>
    <row r="463" spans="1:10" x14ac:dyDescent="0.3">
      <c r="A463">
        <v>462</v>
      </c>
      <c r="B463">
        <v>141259562</v>
      </c>
      <c r="C463" t="s">
        <v>41</v>
      </c>
      <c r="D463" t="s">
        <v>10</v>
      </c>
      <c r="E463" s="1">
        <v>41913</v>
      </c>
      <c r="F463">
        <f t="shared" si="7"/>
        <v>4</v>
      </c>
      <c r="G463" t="s">
        <v>15</v>
      </c>
      <c r="H463" t="s">
        <v>16</v>
      </c>
      <c r="I463">
        <v>698</v>
      </c>
      <c r="J463">
        <v>10930.68</v>
      </c>
    </row>
    <row r="464" spans="1:10" x14ac:dyDescent="0.3">
      <c r="A464">
        <v>463</v>
      </c>
      <c r="B464">
        <v>925264966</v>
      </c>
      <c r="C464" t="s">
        <v>9</v>
      </c>
      <c r="D464" t="s">
        <v>10</v>
      </c>
      <c r="E464" s="1">
        <v>42248</v>
      </c>
      <c r="F464">
        <f t="shared" si="7"/>
        <v>3</v>
      </c>
      <c r="G464" t="s">
        <v>48</v>
      </c>
      <c r="H464" t="s">
        <v>16</v>
      </c>
      <c r="I464">
        <v>5320</v>
      </c>
      <c r="J464">
        <v>924988.4</v>
      </c>
    </row>
    <row r="465" spans="1:10" x14ac:dyDescent="0.3">
      <c r="A465">
        <v>464</v>
      </c>
      <c r="B465">
        <v>346045577</v>
      </c>
      <c r="C465" t="s">
        <v>40</v>
      </c>
      <c r="D465" t="s">
        <v>14</v>
      </c>
      <c r="E465" s="1">
        <v>42370</v>
      </c>
      <c r="F465">
        <f t="shared" si="7"/>
        <v>1</v>
      </c>
      <c r="G465" t="s">
        <v>35</v>
      </c>
      <c r="H465" t="s">
        <v>19</v>
      </c>
      <c r="I465">
        <v>1431</v>
      </c>
      <c r="J465">
        <v>180663.75</v>
      </c>
    </row>
    <row r="466" spans="1:10" x14ac:dyDescent="0.3">
      <c r="A466">
        <v>465</v>
      </c>
      <c r="B466">
        <v>861462724</v>
      </c>
      <c r="C466" t="s">
        <v>24</v>
      </c>
      <c r="D466" t="s">
        <v>10</v>
      </c>
      <c r="E466" s="1">
        <v>40238</v>
      </c>
      <c r="F466">
        <f t="shared" si="7"/>
        <v>1</v>
      </c>
      <c r="G466" t="s">
        <v>37</v>
      </c>
      <c r="H466" t="s">
        <v>26</v>
      </c>
      <c r="I466">
        <v>4818</v>
      </c>
      <c r="J466">
        <v>11611.38</v>
      </c>
    </row>
    <row r="467" spans="1:10" x14ac:dyDescent="0.3">
      <c r="A467">
        <v>466</v>
      </c>
      <c r="B467">
        <v>499690234</v>
      </c>
      <c r="C467" t="s">
        <v>43</v>
      </c>
      <c r="D467" t="s">
        <v>14</v>
      </c>
      <c r="E467" s="1">
        <v>41091</v>
      </c>
      <c r="F467">
        <f t="shared" si="7"/>
        <v>3</v>
      </c>
      <c r="G467" t="s">
        <v>33</v>
      </c>
      <c r="H467" t="s">
        <v>12</v>
      </c>
      <c r="I467">
        <v>8299</v>
      </c>
      <c r="J467">
        <v>207972.94</v>
      </c>
    </row>
    <row r="468" spans="1:10" x14ac:dyDescent="0.3">
      <c r="A468">
        <v>467</v>
      </c>
      <c r="B468">
        <v>509214437</v>
      </c>
      <c r="C468" t="s">
        <v>30</v>
      </c>
      <c r="D468" t="s">
        <v>14</v>
      </c>
      <c r="E468" s="1">
        <v>42278</v>
      </c>
      <c r="F468">
        <f t="shared" si="7"/>
        <v>4</v>
      </c>
      <c r="G468" t="s">
        <v>37</v>
      </c>
      <c r="H468" t="s">
        <v>26</v>
      </c>
      <c r="I468">
        <v>6722</v>
      </c>
      <c r="J468">
        <v>493663.68</v>
      </c>
    </row>
    <row r="469" spans="1:10" x14ac:dyDescent="0.3">
      <c r="A469">
        <v>468</v>
      </c>
      <c r="B469">
        <v>408834159</v>
      </c>
      <c r="C469" t="s">
        <v>40</v>
      </c>
      <c r="D469" t="s">
        <v>14</v>
      </c>
      <c r="E469" s="1">
        <v>42887</v>
      </c>
      <c r="F469">
        <f t="shared" si="7"/>
        <v>2</v>
      </c>
      <c r="G469" t="s">
        <v>51</v>
      </c>
      <c r="H469" t="s">
        <v>26</v>
      </c>
      <c r="I469">
        <v>1968</v>
      </c>
      <c r="J469">
        <v>248460</v>
      </c>
    </row>
    <row r="470" spans="1:10" x14ac:dyDescent="0.3">
      <c r="A470">
        <v>469</v>
      </c>
      <c r="B470">
        <v>237660729</v>
      </c>
      <c r="C470" t="s">
        <v>41</v>
      </c>
      <c r="D470" t="s">
        <v>10</v>
      </c>
      <c r="E470" s="1">
        <v>42461</v>
      </c>
      <c r="F470">
        <f t="shared" si="7"/>
        <v>2</v>
      </c>
      <c r="G470" t="s">
        <v>35</v>
      </c>
      <c r="H470" t="s">
        <v>19</v>
      </c>
      <c r="I470">
        <v>7946</v>
      </c>
      <c r="J470">
        <v>124434.36</v>
      </c>
    </row>
    <row r="471" spans="1:10" x14ac:dyDescent="0.3">
      <c r="A471">
        <v>470</v>
      </c>
      <c r="B471">
        <v>105117976</v>
      </c>
      <c r="C471" t="s">
        <v>30</v>
      </c>
      <c r="D471" t="s">
        <v>14</v>
      </c>
      <c r="E471" s="1">
        <v>42217</v>
      </c>
      <c r="F471">
        <f t="shared" si="7"/>
        <v>3</v>
      </c>
      <c r="G471" t="s">
        <v>51</v>
      </c>
      <c r="H471" t="s">
        <v>26</v>
      </c>
      <c r="I471">
        <v>5600</v>
      </c>
      <c r="J471">
        <v>411264</v>
      </c>
    </row>
    <row r="472" spans="1:10" x14ac:dyDescent="0.3">
      <c r="A472">
        <v>471</v>
      </c>
      <c r="B472">
        <v>640942227</v>
      </c>
      <c r="C472" t="s">
        <v>20</v>
      </c>
      <c r="D472" t="s">
        <v>10</v>
      </c>
      <c r="E472" s="1">
        <v>41061</v>
      </c>
      <c r="F472">
        <f t="shared" si="7"/>
        <v>2</v>
      </c>
      <c r="G472" t="s">
        <v>46</v>
      </c>
      <c r="H472" t="s">
        <v>28</v>
      </c>
      <c r="I472">
        <v>7903</v>
      </c>
      <c r="J472">
        <v>700126.77</v>
      </c>
    </row>
    <row r="473" spans="1:10" x14ac:dyDescent="0.3">
      <c r="A473">
        <v>472</v>
      </c>
      <c r="B473">
        <v>745182311</v>
      </c>
      <c r="C473" t="s">
        <v>9</v>
      </c>
      <c r="D473" t="s">
        <v>14</v>
      </c>
      <c r="E473" s="1">
        <v>42461</v>
      </c>
      <c r="F473">
        <f t="shared" si="7"/>
        <v>2</v>
      </c>
      <c r="G473" t="s">
        <v>37</v>
      </c>
      <c r="H473" t="s">
        <v>26</v>
      </c>
      <c r="I473">
        <v>4860</v>
      </c>
      <c r="J473">
        <v>845008.2</v>
      </c>
    </row>
    <row r="474" spans="1:10" x14ac:dyDescent="0.3">
      <c r="A474">
        <v>473</v>
      </c>
      <c r="B474">
        <v>738199555</v>
      </c>
      <c r="C474" t="s">
        <v>17</v>
      </c>
      <c r="D474" t="s">
        <v>10</v>
      </c>
      <c r="E474" s="1">
        <v>41883</v>
      </c>
      <c r="F474">
        <f t="shared" si="7"/>
        <v>3</v>
      </c>
      <c r="G474" t="s">
        <v>49</v>
      </c>
      <c r="H474" t="s">
        <v>19</v>
      </c>
      <c r="I474">
        <v>8508</v>
      </c>
      <c r="J474">
        <v>815576.88</v>
      </c>
    </row>
    <row r="475" spans="1:10" x14ac:dyDescent="0.3">
      <c r="A475">
        <v>474</v>
      </c>
      <c r="B475">
        <v>110667788</v>
      </c>
      <c r="C475" t="s">
        <v>34</v>
      </c>
      <c r="D475" t="s">
        <v>14</v>
      </c>
      <c r="E475" s="1">
        <v>42217</v>
      </c>
      <c r="F475">
        <f t="shared" si="7"/>
        <v>3</v>
      </c>
      <c r="G475" t="s">
        <v>59</v>
      </c>
      <c r="H475" t="s">
        <v>19</v>
      </c>
      <c r="I475">
        <v>7913</v>
      </c>
      <c r="J475">
        <v>436322.82</v>
      </c>
    </row>
    <row r="476" spans="1:10" x14ac:dyDescent="0.3">
      <c r="A476">
        <v>475</v>
      </c>
      <c r="B476">
        <v>673573338</v>
      </c>
      <c r="C476" t="s">
        <v>40</v>
      </c>
      <c r="D476" t="s">
        <v>14</v>
      </c>
      <c r="E476" s="1">
        <v>41091</v>
      </c>
      <c r="F476">
        <f t="shared" si="7"/>
        <v>3</v>
      </c>
      <c r="G476" t="s">
        <v>55</v>
      </c>
      <c r="H476" t="s">
        <v>26</v>
      </c>
      <c r="I476">
        <v>4174</v>
      </c>
      <c r="J476">
        <v>526967.5</v>
      </c>
    </row>
    <row r="477" spans="1:10" x14ac:dyDescent="0.3">
      <c r="A477">
        <v>476</v>
      </c>
      <c r="B477">
        <v>708215034</v>
      </c>
      <c r="C477" t="s">
        <v>34</v>
      </c>
      <c r="D477" t="s">
        <v>10</v>
      </c>
      <c r="E477" s="1">
        <v>40756</v>
      </c>
      <c r="F477">
        <f t="shared" si="7"/>
        <v>3</v>
      </c>
      <c r="G477" t="s">
        <v>25</v>
      </c>
      <c r="H477" t="s">
        <v>26</v>
      </c>
      <c r="I477">
        <v>5421</v>
      </c>
      <c r="J477">
        <v>298913.94</v>
      </c>
    </row>
    <row r="478" spans="1:10" x14ac:dyDescent="0.3">
      <c r="A478">
        <v>477</v>
      </c>
      <c r="B478">
        <v>816204202</v>
      </c>
      <c r="C478" t="s">
        <v>36</v>
      </c>
      <c r="D478" t="s">
        <v>14</v>
      </c>
      <c r="E478" s="1">
        <v>41061</v>
      </c>
      <c r="F478">
        <f t="shared" si="7"/>
        <v>2</v>
      </c>
      <c r="G478" t="s">
        <v>11</v>
      </c>
      <c r="H478" t="s">
        <v>12</v>
      </c>
      <c r="I478">
        <v>1816</v>
      </c>
      <c r="J478">
        <v>300965.68</v>
      </c>
    </row>
    <row r="479" spans="1:10" x14ac:dyDescent="0.3">
      <c r="A479">
        <v>478</v>
      </c>
      <c r="B479">
        <v>769464671</v>
      </c>
      <c r="C479" t="s">
        <v>41</v>
      </c>
      <c r="D479" t="s">
        <v>10</v>
      </c>
      <c r="E479" s="1">
        <v>40848</v>
      </c>
      <c r="F479">
        <f t="shared" si="7"/>
        <v>4</v>
      </c>
      <c r="G479" t="s">
        <v>39</v>
      </c>
      <c r="H479" t="s">
        <v>28</v>
      </c>
      <c r="I479">
        <v>550</v>
      </c>
      <c r="J479">
        <v>8613</v>
      </c>
    </row>
    <row r="480" spans="1:10" x14ac:dyDescent="0.3">
      <c r="A480">
        <v>479</v>
      </c>
      <c r="B480">
        <v>860232770</v>
      </c>
      <c r="C480" t="s">
        <v>41</v>
      </c>
      <c r="D480" t="s">
        <v>10</v>
      </c>
      <c r="E480" s="1">
        <v>42125</v>
      </c>
      <c r="F480">
        <f t="shared" si="7"/>
        <v>2</v>
      </c>
      <c r="G480" t="s">
        <v>37</v>
      </c>
      <c r="H480" t="s">
        <v>26</v>
      </c>
      <c r="I480">
        <v>848</v>
      </c>
      <c r="J480">
        <v>13279.68</v>
      </c>
    </row>
    <row r="481" spans="1:10" x14ac:dyDescent="0.3">
      <c r="A481">
        <v>480</v>
      </c>
      <c r="B481">
        <v>551057326</v>
      </c>
      <c r="C481" t="s">
        <v>43</v>
      </c>
      <c r="D481" t="s">
        <v>10</v>
      </c>
      <c r="E481" s="1">
        <v>40360</v>
      </c>
      <c r="F481">
        <f t="shared" si="7"/>
        <v>3</v>
      </c>
      <c r="G481" t="s">
        <v>18</v>
      </c>
      <c r="H481" t="s">
        <v>19</v>
      </c>
      <c r="I481">
        <v>8963</v>
      </c>
      <c r="J481">
        <v>224612.78</v>
      </c>
    </row>
    <row r="482" spans="1:10" x14ac:dyDescent="0.3">
      <c r="A482">
        <v>481</v>
      </c>
      <c r="B482">
        <v>724799668</v>
      </c>
      <c r="C482" t="s">
        <v>9</v>
      </c>
      <c r="D482" t="s">
        <v>14</v>
      </c>
      <c r="E482" s="1">
        <v>42491</v>
      </c>
      <c r="F482">
        <f t="shared" si="7"/>
        <v>2</v>
      </c>
      <c r="G482" t="s">
        <v>42</v>
      </c>
      <c r="H482" t="s">
        <v>26</v>
      </c>
      <c r="I482">
        <v>3183</v>
      </c>
      <c r="J482">
        <v>553428.21</v>
      </c>
    </row>
    <row r="483" spans="1:10" x14ac:dyDescent="0.3">
      <c r="A483">
        <v>482</v>
      </c>
      <c r="B483">
        <v>534633624</v>
      </c>
      <c r="C483" t="s">
        <v>9</v>
      </c>
      <c r="D483" t="s">
        <v>10</v>
      </c>
      <c r="E483" s="1">
        <v>40634</v>
      </c>
      <c r="F483">
        <f t="shared" si="7"/>
        <v>2</v>
      </c>
      <c r="G483" t="s">
        <v>18</v>
      </c>
      <c r="H483" t="s">
        <v>19</v>
      </c>
      <c r="I483">
        <v>8825</v>
      </c>
      <c r="J483">
        <v>1534402.75</v>
      </c>
    </row>
    <row r="484" spans="1:10" x14ac:dyDescent="0.3">
      <c r="A484">
        <v>483</v>
      </c>
      <c r="B484">
        <v>554045522</v>
      </c>
      <c r="C484" t="s">
        <v>41</v>
      </c>
      <c r="D484" t="s">
        <v>10</v>
      </c>
      <c r="E484" s="1">
        <v>41122</v>
      </c>
      <c r="F484">
        <f t="shared" si="7"/>
        <v>3</v>
      </c>
      <c r="G484" t="s">
        <v>25</v>
      </c>
      <c r="H484" t="s">
        <v>26</v>
      </c>
      <c r="I484">
        <v>3237</v>
      </c>
      <c r="J484">
        <v>50691.42</v>
      </c>
    </row>
    <row r="485" spans="1:10" x14ac:dyDescent="0.3">
      <c r="A485">
        <v>484</v>
      </c>
      <c r="B485">
        <v>526834189</v>
      </c>
      <c r="C485" t="s">
        <v>30</v>
      </c>
      <c r="D485" t="s">
        <v>14</v>
      </c>
      <c r="E485" s="1">
        <v>40969</v>
      </c>
      <c r="F485">
        <f t="shared" si="7"/>
        <v>1</v>
      </c>
      <c r="G485" t="s">
        <v>21</v>
      </c>
      <c r="H485" t="s">
        <v>19</v>
      </c>
      <c r="I485">
        <v>799</v>
      </c>
      <c r="J485">
        <v>58678.559999999998</v>
      </c>
    </row>
    <row r="486" spans="1:10" x14ac:dyDescent="0.3">
      <c r="A486">
        <v>485</v>
      </c>
      <c r="B486">
        <v>717110955</v>
      </c>
      <c r="C486" t="s">
        <v>36</v>
      </c>
      <c r="D486" t="s">
        <v>14</v>
      </c>
      <c r="E486" s="1">
        <v>40391</v>
      </c>
      <c r="F486">
        <f t="shared" si="7"/>
        <v>3</v>
      </c>
      <c r="G486" t="s">
        <v>35</v>
      </c>
      <c r="H486" t="s">
        <v>19</v>
      </c>
      <c r="I486">
        <v>7922</v>
      </c>
      <c r="J486">
        <v>1312913.06</v>
      </c>
    </row>
    <row r="487" spans="1:10" x14ac:dyDescent="0.3">
      <c r="A487">
        <v>486</v>
      </c>
      <c r="B487">
        <v>559299647</v>
      </c>
      <c r="C487" t="s">
        <v>17</v>
      </c>
      <c r="D487" t="s">
        <v>10</v>
      </c>
      <c r="E487" s="1">
        <v>41306</v>
      </c>
      <c r="F487">
        <f t="shared" si="7"/>
        <v>1</v>
      </c>
      <c r="G487" t="s">
        <v>55</v>
      </c>
      <c r="H487" t="s">
        <v>26</v>
      </c>
      <c r="I487">
        <v>8049</v>
      </c>
      <c r="J487">
        <v>771577.14</v>
      </c>
    </row>
    <row r="488" spans="1:10" x14ac:dyDescent="0.3">
      <c r="A488">
        <v>487</v>
      </c>
      <c r="B488">
        <v>908136594</v>
      </c>
      <c r="C488" t="s">
        <v>47</v>
      </c>
      <c r="D488" t="s">
        <v>14</v>
      </c>
      <c r="E488" s="1">
        <v>40603</v>
      </c>
      <c r="F488">
        <f t="shared" si="7"/>
        <v>1</v>
      </c>
      <c r="G488" t="s">
        <v>31</v>
      </c>
      <c r="H488" t="s">
        <v>19</v>
      </c>
      <c r="I488">
        <v>6654</v>
      </c>
      <c r="J488">
        <v>380608.8</v>
      </c>
    </row>
    <row r="489" spans="1:10" x14ac:dyDescent="0.3">
      <c r="A489">
        <v>488</v>
      </c>
      <c r="B489">
        <v>888670623</v>
      </c>
      <c r="C489" t="s">
        <v>40</v>
      </c>
      <c r="D489" t="s">
        <v>10</v>
      </c>
      <c r="E489" s="1">
        <v>42339</v>
      </c>
      <c r="F489">
        <f t="shared" si="7"/>
        <v>4</v>
      </c>
      <c r="G489" t="s">
        <v>58</v>
      </c>
      <c r="H489" t="s">
        <v>26</v>
      </c>
      <c r="I489">
        <v>6240</v>
      </c>
      <c r="J489">
        <v>787800</v>
      </c>
    </row>
    <row r="490" spans="1:10" x14ac:dyDescent="0.3">
      <c r="A490">
        <v>489</v>
      </c>
      <c r="B490">
        <v>146263062</v>
      </c>
      <c r="C490" t="s">
        <v>40</v>
      </c>
      <c r="D490" t="s">
        <v>10</v>
      </c>
      <c r="E490" s="1">
        <v>42767</v>
      </c>
      <c r="F490">
        <f t="shared" si="7"/>
        <v>1</v>
      </c>
      <c r="G490" t="s">
        <v>53</v>
      </c>
      <c r="H490" t="s">
        <v>16</v>
      </c>
      <c r="I490">
        <v>1345</v>
      </c>
      <c r="J490">
        <v>169806.25</v>
      </c>
    </row>
    <row r="491" spans="1:10" x14ac:dyDescent="0.3">
      <c r="A491">
        <v>490</v>
      </c>
      <c r="B491">
        <v>196587741</v>
      </c>
      <c r="C491" t="s">
        <v>40</v>
      </c>
      <c r="D491" t="s">
        <v>10</v>
      </c>
      <c r="E491" s="1">
        <v>42614</v>
      </c>
      <c r="F491">
        <f t="shared" si="7"/>
        <v>3</v>
      </c>
      <c r="G491" t="s">
        <v>15</v>
      </c>
      <c r="H491" t="s">
        <v>16</v>
      </c>
      <c r="I491">
        <v>3536</v>
      </c>
      <c r="J491">
        <v>446420</v>
      </c>
    </row>
    <row r="492" spans="1:10" x14ac:dyDescent="0.3">
      <c r="A492">
        <v>491</v>
      </c>
      <c r="B492">
        <v>375630986</v>
      </c>
      <c r="C492" t="s">
        <v>17</v>
      </c>
      <c r="D492" t="s">
        <v>14</v>
      </c>
      <c r="E492" s="1">
        <v>40269</v>
      </c>
      <c r="F492">
        <f t="shared" si="7"/>
        <v>2</v>
      </c>
      <c r="G492" t="s">
        <v>52</v>
      </c>
      <c r="H492" t="s">
        <v>19</v>
      </c>
      <c r="I492">
        <v>6411</v>
      </c>
      <c r="J492">
        <v>614558.46</v>
      </c>
    </row>
    <row r="493" spans="1:10" x14ac:dyDescent="0.3">
      <c r="A493">
        <v>492</v>
      </c>
      <c r="B493">
        <v>989691627</v>
      </c>
      <c r="C493" t="s">
        <v>41</v>
      </c>
      <c r="D493" t="s">
        <v>10</v>
      </c>
      <c r="E493" s="1">
        <v>41426</v>
      </c>
      <c r="F493">
        <f t="shared" si="7"/>
        <v>2</v>
      </c>
      <c r="G493" t="s">
        <v>45</v>
      </c>
      <c r="H493" t="s">
        <v>12</v>
      </c>
      <c r="I493">
        <v>600</v>
      </c>
      <c r="J493">
        <v>9396</v>
      </c>
    </row>
    <row r="494" spans="1:10" x14ac:dyDescent="0.3">
      <c r="A494">
        <v>493</v>
      </c>
      <c r="B494">
        <v>165380990</v>
      </c>
      <c r="C494" t="s">
        <v>36</v>
      </c>
      <c r="D494" t="s">
        <v>10</v>
      </c>
      <c r="E494" s="1">
        <v>41091</v>
      </c>
      <c r="F494">
        <f t="shared" si="7"/>
        <v>3</v>
      </c>
      <c r="G494" t="s">
        <v>38</v>
      </c>
      <c r="H494" t="s">
        <v>16</v>
      </c>
      <c r="I494">
        <v>8765</v>
      </c>
      <c r="J494">
        <v>1452623.45</v>
      </c>
    </row>
    <row r="495" spans="1:10" x14ac:dyDescent="0.3">
      <c r="A495">
        <v>494</v>
      </c>
      <c r="B495">
        <v>599622905</v>
      </c>
      <c r="C495" t="s">
        <v>34</v>
      </c>
      <c r="D495" t="s">
        <v>14</v>
      </c>
      <c r="E495" s="1">
        <v>41518</v>
      </c>
      <c r="F495">
        <f t="shared" si="7"/>
        <v>3</v>
      </c>
      <c r="G495" t="s">
        <v>51</v>
      </c>
      <c r="H495" t="s">
        <v>26</v>
      </c>
      <c r="I495">
        <v>597</v>
      </c>
      <c r="J495">
        <v>32918.58</v>
      </c>
    </row>
    <row r="496" spans="1:10" x14ac:dyDescent="0.3">
      <c r="A496">
        <v>495</v>
      </c>
      <c r="B496">
        <v>109653699</v>
      </c>
      <c r="C496" t="s">
        <v>43</v>
      </c>
      <c r="D496" t="s">
        <v>10</v>
      </c>
      <c r="E496" s="1">
        <v>42705</v>
      </c>
      <c r="F496">
        <f t="shared" si="7"/>
        <v>4</v>
      </c>
      <c r="G496" t="s">
        <v>11</v>
      </c>
      <c r="H496" t="s">
        <v>12</v>
      </c>
      <c r="I496">
        <v>7821</v>
      </c>
      <c r="J496">
        <v>195994.26</v>
      </c>
    </row>
    <row r="497" spans="1:10" x14ac:dyDescent="0.3">
      <c r="A497">
        <v>496</v>
      </c>
      <c r="B497">
        <v>183022201</v>
      </c>
      <c r="C497" t="s">
        <v>47</v>
      </c>
      <c r="D497" t="s">
        <v>10</v>
      </c>
      <c r="E497" s="1">
        <v>40787</v>
      </c>
      <c r="F497">
        <f t="shared" si="7"/>
        <v>3</v>
      </c>
      <c r="G497" t="s">
        <v>42</v>
      </c>
      <c r="H497" t="s">
        <v>26</v>
      </c>
      <c r="I497">
        <v>9191</v>
      </c>
      <c r="J497">
        <v>525725.19999999995</v>
      </c>
    </row>
    <row r="498" spans="1:10" x14ac:dyDescent="0.3">
      <c r="A498">
        <v>497</v>
      </c>
      <c r="B498">
        <v>127589738</v>
      </c>
      <c r="C498" t="s">
        <v>43</v>
      </c>
      <c r="D498" t="s">
        <v>14</v>
      </c>
      <c r="E498" s="1">
        <v>40603</v>
      </c>
      <c r="F498">
        <f t="shared" si="7"/>
        <v>1</v>
      </c>
      <c r="G498" t="s">
        <v>55</v>
      </c>
      <c r="H498" t="s">
        <v>26</v>
      </c>
      <c r="I498">
        <v>5494</v>
      </c>
      <c r="J498">
        <v>137679.64000000001</v>
      </c>
    </row>
    <row r="499" spans="1:10" x14ac:dyDescent="0.3">
      <c r="A499">
        <v>498</v>
      </c>
      <c r="B499">
        <v>221530139</v>
      </c>
      <c r="C499" t="s">
        <v>24</v>
      </c>
      <c r="D499" t="s">
        <v>10</v>
      </c>
      <c r="E499" s="1">
        <v>40544</v>
      </c>
      <c r="F499">
        <f t="shared" si="7"/>
        <v>1</v>
      </c>
      <c r="G499" t="s">
        <v>49</v>
      </c>
      <c r="H499" t="s">
        <v>19</v>
      </c>
      <c r="I499">
        <v>4546</v>
      </c>
      <c r="J499">
        <v>10955.86</v>
      </c>
    </row>
    <row r="500" spans="1:10" x14ac:dyDescent="0.3">
      <c r="A500">
        <v>499</v>
      </c>
      <c r="B500">
        <v>363329732</v>
      </c>
      <c r="C500" t="s">
        <v>40</v>
      </c>
      <c r="D500" t="s">
        <v>10</v>
      </c>
      <c r="E500" s="1">
        <v>42036</v>
      </c>
      <c r="F500">
        <f t="shared" si="7"/>
        <v>1</v>
      </c>
      <c r="G500" t="s">
        <v>59</v>
      </c>
      <c r="H500" t="s">
        <v>19</v>
      </c>
      <c r="I500">
        <v>6197</v>
      </c>
      <c r="J500">
        <v>782371.25</v>
      </c>
    </row>
    <row r="501" spans="1:10" x14ac:dyDescent="0.3">
      <c r="A501">
        <v>500</v>
      </c>
      <c r="B501">
        <v>521787345</v>
      </c>
      <c r="C501" t="s">
        <v>24</v>
      </c>
      <c r="D501" t="s">
        <v>14</v>
      </c>
      <c r="E501" s="1">
        <v>42856</v>
      </c>
      <c r="F501">
        <f t="shared" si="7"/>
        <v>2</v>
      </c>
      <c r="G501" t="s">
        <v>18</v>
      </c>
      <c r="H501" t="s">
        <v>19</v>
      </c>
      <c r="I501">
        <v>7325</v>
      </c>
      <c r="J501">
        <v>17653.25</v>
      </c>
    </row>
    <row r="502" spans="1:10" x14ac:dyDescent="0.3">
      <c r="A502">
        <v>501</v>
      </c>
      <c r="B502">
        <v>286014306</v>
      </c>
      <c r="C502" t="s">
        <v>47</v>
      </c>
      <c r="D502" t="s">
        <v>14</v>
      </c>
      <c r="E502" s="1">
        <v>41091</v>
      </c>
      <c r="F502">
        <f t="shared" si="7"/>
        <v>3</v>
      </c>
      <c r="G502" t="s">
        <v>11</v>
      </c>
      <c r="H502" t="s">
        <v>12</v>
      </c>
      <c r="I502">
        <v>6844</v>
      </c>
      <c r="J502">
        <v>391476.8</v>
      </c>
    </row>
    <row r="503" spans="1:10" x14ac:dyDescent="0.3">
      <c r="A503">
        <v>502</v>
      </c>
      <c r="B503">
        <v>215434443</v>
      </c>
      <c r="C503" t="s">
        <v>20</v>
      </c>
      <c r="D503" t="s">
        <v>10</v>
      </c>
      <c r="E503" s="1">
        <v>42156</v>
      </c>
      <c r="F503">
        <f t="shared" si="7"/>
        <v>2</v>
      </c>
      <c r="G503" t="s">
        <v>15</v>
      </c>
      <c r="H503" t="s">
        <v>16</v>
      </c>
      <c r="I503">
        <v>694</v>
      </c>
      <c r="J503">
        <v>61481.46</v>
      </c>
    </row>
    <row r="504" spans="1:10" x14ac:dyDescent="0.3">
      <c r="A504">
        <v>503</v>
      </c>
      <c r="B504">
        <v>489784085</v>
      </c>
      <c r="C504" t="s">
        <v>34</v>
      </c>
      <c r="D504" t="s">
        <v>14</v>
      </c>
      <c r="E504" s="1">
        <v>40817</v>
      </c>
      <c r="F504">
        <f t="shared" si="7"/>
        <v>4</v>
      </c>
      <c r="G504" t="s">
        <v>52</v>
      </c>
      <c r="H504" t="s">
        <v>19</v>
      </c>
      <c r="I504">
        <v>6850</v>
      </c>
      <c r="J504">
        <v>377709</v>
      </c>
    </row>
    <row r="505" spans="1:10" x14ac:dyDescent="0.3">
      <c r="A505">
        <v>504</v>
      </c>
      <c r="B505">
        <v>459112060</v>
      </c>
      <c r="C505" t="s">
        <v>40</v>
      </c>
      <c r="D505" t="s">
        <v>10</v>
      </c>
      <c r="E505" s="1">
        <v>41883</v>
      </c>
      <c r="F505">
        <f t="shared" si="7"/>
        <v>3</v>
      </c>
      <c r="G505" t="s">
        <v>35</v>
      </c>
      <c r="H505" t="s">
        <v>19</v>
      </c>
      <c r="I505">
        <v>316</v>
      </c>
      <c r="J505">
        <v>39895</v>
      </c>
    </row>
    <row r="506" spans="1:10" x14ac:dyDescent="0.3">
      <c r="A506">
        <v>505</v>
      </c>
      <c r="B506">
        <v>893779695</v>
      </c>
      <c r="C506" t="s">
        <v>40</v>
      </c>
      <c r="D506" t="s">
        <v>14</v>
      </c>
      <c r="E506" s="1">
        <v>42248</v>
      </c>
      <c r="F506">
        <f t="shared" si="7"/>
        <v>3</v>
      </c>
      <c r="G506" t="s">
        <v>21</v>
      </c>
      <c r="H506" t="s">
        <v>19</v>
      </c>
      <c r="I506">
        <v>8128</v>
      </c>
      <c r="J506">
        <v>1026160</v>
      </c>
    </row>
    <row r="507" spans="1:10" x14ac:dyDescent="0.3">
      <c r="A507">
        <v>506</v>
      </c>
      <c r="B507">
        <v>834460818</v>
      </c>
      <c r="C507" t="s">
        <v>47</v>
      </c>
      <c r="D507" t="s">
        <v>10</v>
      </c>
      <c r="E507" s="1">
        <v>40603</v>
      </c>
      <c r="F507">
        <f t="shared" si="7"/>
        <v>1</v>
      </c>
      <c r="G507" t="s">
        <v>58</v>
      </c>
      <c r="H507" t="s">
        <v>26</v>
      </c>
      <c r="I507">
        <v>4355</v>
      </c>
      <c r="J507">
        <v>249106</v>
      </c>
    </row>
    <row r="508" spans="1:10" x14ac:dyDescent="0.3">
      <c r="A508">
        <v>507</v>
      </c>
      <c r="B508">
        <v>742141759</v>
      </c>
      <c r="C508" t="s">
        <v>41</v>
      </c>
      <c r="D508" t="s">
        <v>14</v>
      </c>
      <c r="E508" s="1">
        <v>41548</v>
      </c>
      <c r="F508">
        <f t="shared" si="7"/>
        <v>4</v>
      </c>
      <c r="G508" t="s">
        <v>52</v>
      </c>
      <c r="H508" t="s">
        <v>19</v>
      </c>
      <c r="I508">
        <v>5093</v>
      </c>
      <c r="J508">
        <v>79756.38</v>
      </c>
    </row>
    <row r="509" spans="1:10" x14ac:dyDescent="0.3">
      <c r="A509">
        <v>508</v>
      </c>
      <c r="B509">
        <v>248121345</v>
      </c>
      <c r="C509" t="s">
        <v>13</v>
      </c>
      <c r="D509" t="s">
        <v>10</v>
      </c>
      <c r="E509" s="1">
        <v>40391</v>
      </c>
      <c r="F509">
        <f t="shared" si="7"/>
        <v>3</v>
      </c>
      <c r="G509" t="s">
        <v>53</v>
      </c>
      <c r="H509" t="s">
        <v>16</v>
      </c>
      <c r="I509">
        <v>3475</v>
      </c>
      <c r="J509">
        <v>219376.75</v>
      </c>
    </row>
    <row r="510" spans="1:10" x14ac:dyDescent="0.3">
      <c r="A510">
        <v>509</v>
      </c>
      <c r="B510">
        <v>404010903</v>
      </c>
      <c r="C510" t="s">
        <v>30</v>
      </c>
      <c r="D510" t="s">
        <v>10</v>
      </c>
      <c r="E510" s="1">
        <v>41091</v>
      </c>
      <c r="F510">
        <f t="shared" si="7"/>
        <v>3</v>
      </c>
      <c r="G510" t="s">
        <v>32</v>
      </c>
      <c r="H510" t="s">
        <v>26</v>
      </c>
      <c r="I510">
        <v>4659</v>
      </c>
      <c r="J510">
        <v>342156.96</v>
      </c>
    </row>
    <row r="511" spans="1:10" x14ac:dyDescent="0.3">
      <c r="A511">
        <v>510</v>
      </c>
      <c r="B511">
        <v>531734263</v>
      </c>
      <c r="C511" t="s">
        <v>36</v>
      </c>
      <c r="D511" t="s">
        <v>14</v>
      </c>
      <c r="E511" s="1">
        <v>41153</v>
      </c>
      <c r="F511">
        <f t="shared" si="7"/>
        <v>3</v>
      </c>
      <c r="G511" t="s">
        <v>55</v>
      </c>
      <c r="H511" t="s">
        <v>26</v>
      </c>
      <c r="I511">
        <v>840</v>
      </c>
      <c r="J511">
        <v>139213.20000000001</v>
      </c>
    </row>
    <row r="512" spans="1:10" x14ac:dyDescent="0.3">
      <c r="A512">
        <v>511</v>
      </c>
      <c r="B512">
        <v>473527753</v>
      </c>
      <c r="C512" t="s">
        <v>17</v>
      </c>
      <c r="D512" t="s">
        <v>14</v>
      </c>
      <c r="E512" s="1">
        <v>41214</v>
      </c>
      <c r="F512">
        <f t="shared" si="7"/>
        <v>4</v>
      </c>
      <c r="G512" t="s">
        <v>58</v>
      </c>
      <c r="H512" t="s">
        <v>26</v>
      </c>
      <c r="I512">
        <v>6240</v>
      </c>
      <c r="J512">
        <v>598166.4</v>
      </c>
    </row>
    <row r="513" spans="1:10" x14ac:dyDescent="0.3">
      <c r="A513">
        <v>512</v>
      </c>
      <c r="B513">
        <v>141940200</v>
      </c>
      <c r="C513" t="s">
        <v>20</v>
      </c>
      <c r="D513" t="s">
        <v>10</v>
      </c>
      <c r="E513" s="1">
        <v>40848</v>
      </c>
      <c r="F513">
        <f t="shared" si="7"/>
        <v>4</v>
      </c>
      <c r="G513" t="s">
        <v>38</v>
      </c>
      <c r="H513" t="s">
        <v>16</v>
      </c>
      <c r="I513">
        <v>2114</v>
      </c>
      <c r="J513">
        <v>187279.26</v>
      </c>
    </row>
    <row r="514" spans="1:10" x14ac:dyDescent="0.3">
      <c r="A514">
        <v>513</v>
      </c>
      <c r="B514">
        <v>869832932</v>
      </c>
      <c r="C514" t="s">
        <v>36</v>
      </c>
      <c r="D514" t="s">
        <v>10</v>
      </c>
      <c r="E514" s="1">
        <v>42887</v>
      </c>
      <c r="F514">
        <f t="shared" ref="F514:F577" si="8">ROUNDUP(MONTH(E514)/3,0)</f>
        <v>2</v>
      </c>
      <c r="G514" t="s">
        <v>21</v>
      </c>
      <c r="H514" t="s">
        <v>19</v>
      </c>
      <c r="I514">
        <v>1749</v>
      </c>
      <c r="J514">
        <v>289861.77</v>
      </c>
    </row>
    <row r="515" spans="1:10" x14ac:dyDescent="0.3">
      <c r="A515">
        <v>514</v>
      </c>
      <c r="B515">
        <v>460379779</v>
      </c>
      <c r="C515" t="s">
        <v>34</v>
      </c>
      <c r="D515" t="s">
        <v>14</v>
      </c>
      <c r="E515" s="1">
        <v>40787</v>
      </c>
      <c r="F515">
        <f t="shared" si="8"/>
        <v>3</v>
      </c>
      <c r="G515" t="s">
        <v>15</v>
      </c>
      <c r="H515" t="s">
        <v>16</v>
      </c>
      <c r="I515">
        <v>5462</v>
      </c>
      <c r="J515">
        <v>301174.68</v>
      </c>
    </row>
    <row r="516" spans="1:10" x14ac:dyDescent="0.3">
      <c r="A516">
        <v>515</v>
      </c>
      <c r="B516">
        <v>837067067</v>
      </c>
      <c r="C516" t="s">
        <v>13</v>
      </c>
      <c r="D516" t="s">
        <v>14</v>
      </c>
      <c r="E516" s="1">
        <v>42278</v>
      </c>
      <c r="F516">
        <f t="shared" si="8"/>
        <v>4</v>
      </c>
      <c r="G516" t="s">
        <v>35</v>
      </c>
      <c r="H516" t="s">
        <v>19</v>
      </c>
      <c r="I516">
        <v>5602</v>
      </c>
      <c r="J516">
        <v>353654.26</v>
      </c>
    </row>
    <row r="517" spans="1:10" x14ac:dyDescent="0.3">
      <c r="A517">
        <v>516</v>
      </c>
      <c r="B517">
        <v>393693625</v>
      </c>
      <c r="C517" t="s">
        <v>41</v>
      </c>
      <c r="D517" t="s">
        <v>14</v>
      </c>
      <c r="E517" s="1">
        <v>40269</v>
      </c>
      <c r="F517">
        <f t="shared" si="8"/>
        <v>2</v>
      </c>
      <c r="G517" t="s">
        <v>50</v>
      </c>
      <c r="H517" t="s">
        <v>16</v>
      </c>
      <c r="I517">
        <v>1547</v>
      </c>
      <c r="J517">
        <v>24226.02</v>
      </c>
    </row>
    <row r="518" spans="1:10" x14ac:dyDescent="0.3">
      <c r="A518">
        <v>517</v>
      </c>
      <c r="B518">
        <v>744370782</v>
      </c>
      <c r="C518" t="s">
        <v>13</v>
      </c>
      <c r="D518" t="s">
        <v>10</v>
      </c>
      <c r="E518" s="1">
        <v>41821</v>
      </c>
      <c r="F518">
        <f t="shared" si="8"/>
        <v>3</v>
      </c>
      <c r="G518" t="s">
        <v>52</v>
      </c>
      <c r="H518" t="s">
        <v>19</v>
      </c>
      <c r="I518">
        <v>4711</v>
      </c>
      <c r="J518">
        <v>297405.43</v>
      </c>
    </row>
    <row r="519" spans="1:10" x14ac:dyDescent="0.3">
      <c r="A519">
        <v>518</v>
      </c>
      <c r="B519">
        <v>873522365</v>
      </c>
      <c r="C519" t="s">
        <v>9</v>
      </c>
      <c r="D519" t="s">
        <v>10</v>
      </c>
      <c r="E519" s="1">
        <v>41974</v>
      </c>
      <c r="F519">
        <f t="shared" si="8"/>
        <v>4</v>
      </c>
      <c r="G519" t="s">
        <v>59</v>
      </c>
      <c r="H519" t="s">
        <v>19</v>
      </c>
      <c r="I519">
        <v>3534</v>
      </c>
      <c r="J519">
        <v>614456.57999999996</v>
      </c>
    </row>
    <row r="520" spans="1:10" x14ac:dyDescent="0.3">
      <c r="A520">
        <v>519</v>
      </c>
      <c r="B520">
        <v>285884702</v>
      </c>
      <c r="C520" t="s">
        <v>41</v>
      </c>
      <c r="D520" t="s">
        <v>14</v>
      </c>
      <c r="E520" s="1">
        <v>41760</v>
      </c>
      <c r="F520">
        <f t="shared" si="8"/>
        <v>2</v>
      </c>
      <c r="G520" t="s">
        <v>25</v>
      </c>
      <c r="H520" t="s">
        <v>26</v>
      </c>
      <c r="I520">
        <v>8491</v>
      </c>
      <c r="J520">
        <v>132969.06</v>
      </c>
    </row>
    <row r="521" spans="1:10" x14ac:dyDescent="0.3">
      <c r="A521">
        <v>520</v>
      </c>
      <c r="B521">
        <v>356506621</v>
      </c>
      <c r="C521" t="s">
        <v>9</v>
      </c>
      <c r="D521" t="s">
        <v>14</v>
      </c>
      <c r="E521" s="1">
        <v>41122</v>
      </c>
      <c r="F521">
        <f t="shared" si="8"/>
        <v>3</v>
      </c>
      <c r="G521" t="s">
        <v>54</v>
      </c>
      <c r="H521" t="s">
        <v>16</v>
      </c>
      <c r="I521">
        <v>7086</v>
      </c>
      <c r="J521">
        <v>1232042.82</v>
      </c>
    </row>
    <row r="522" spans="1:10" x14ac:dyDescent="0.3">
      <c r="A522">
        <v>521</v>
      </c>
      <c r="B522">
        <v>280749452</v>
      </c>
      <c r="C522" t="s">
        <v>17</v>
      </c>
      <c r="D522" t="s">
        <v>10</v>
      </c>
      <c r="E522" s="1">
        <v>40391</v>
      </c>
      <c r="F522">
        <f t="shared" si="8"/>
        <v>3</v>
      </c>
      <c r="G522" t="s">
        <v>37</v>
      </c>
      <c r="H522" t="s">
        <v>26</v>
      </c>
      <c r="I522">
        <v>8856</v>
      </c>
      <c r="J522">
        <v>848936.16</v>
      </c>
    </row>
    <row r="523" spans="1:10" x14ac:dyDescent="0.3">
      <c r="A523">
        <v>522</v>
      </c>
      <c r="B523">
        <v>224287021</v>
      </c>
      <c r="C523" t="s">
        <v>17</v>
      </c>
      <c r="D523" t="s">
        <v>14</v>
      </c>
      <c r="E523" s="1">
        <v>41730</v>
      </c>
      <c r="F523">
        <f t="shared" si="8"/>
        <v>2</v>
      </c>
      <c r="G523" t="s">
        <v>35</v>
      </c>
      <c r="H523" t="s">
        <v>19</v>
      </c>
      <c r="I523">
        <v>368</v>
      </c>
      <c r="J523">
        <v>35276.480000000003</v>
      </c>
    </row>
    <row r="524" spans="1:10" x14ac:dyDescent="0.3">
      <c r="A524">
        <v>523</v>
      </c>
      <c r="B524">
        <v>873105657</v>
      </c>
      <c r="C524" t="s">
        <v>24</v>
      </c>
      <c r="D524" t="s">
        <v>10</v>
      </c>
      <c r="E524" s="1">
        <v>42156</v>
      </c>
      <c r="F524">
        <f t="shared" si="8"/>
        <v>2</v>
      </c>
      <c r="G524" t="s">
        <v>18</v>
      </c>
      <c r="H524" t="s">
        <v>19</v>
      </c>
      <c r="I524">
        <v>221</v>
      </c>
      <c r="J524">
        <v>532.61</v>
      </c>
    </row>
    <row r="525" spans="1:10" x14ac:dyDescent="0.3">
      <c r="A525">
        <v>524</v>
      </c>
      <c r="B525">
        <v>283504188</v>
      </c>
      <c r="C525" t="s">
        <v>34</v>
      </c>
      <c r="D525" t="s">
        <v>10</v>
      </c>
      <c r="E525" s="1">
        <v>40391</v>
      </c>
      <c r="F525">
        <f t="shared" si="8"/>
        <v>3</v>
      </c>
      <c r="G525" t="s">
        <v>58</v>
      </c>
      <c r="H525" t="s">
        <v>26</v>
      </c>
      <c r="I525">
        <v>4044</v>
      </c>
      <c r="J525">
        <v>222986.16</v>
      </c>
    </row>
    <row r="526" spans="1:10" x14ac:dyDescent="0.3">
      <c r="A526">
        <v>525</v>
      </c>
      <c r="B526">
        <v>632093942</v>
      </c>
      <c r="C526" t="s">
        <v>41</v>
      </c>
      <c r="D526" t="s">
        <v>10</v>
      </c>
      <c r="E526" s="1">
        <v>41122</v>
      </c>
      <c r="F526">
        <f t="shared" si="8"/>
        <v>3</v>
      </c>
      <c r="G526" t="s">
        <v>54</v>
      </c>
      <c r="H526" t="s">
        <v>16</v>
      </c>
      <c r="I526">
        <v>9499</v>
      </c>
      <c r="J526">
        <v>148754.34</v>
      </c>
    </row>
    <row r="527" spans="1:10" x14ac:dyDescent="0.3">
      <c r="A527">
        <v>526</v>
      </c>
      <c r="B527">
        <v>565798747</v>
      </c>
      <c r="C527" t="s">
        <v>47</v>
      </c>
      <c r="D527" t="s">
        <v>10</v>
      </c>
      <c r="E527" s="1">
        <v>42552</v>
      </c>
      <c r="F527">
        <f t="shared" si="8"/>
        <v>3</v>
      </c>
      <c r="G527" t="s">
        <v>51</v>
      </c>
      <c r="H527" t="s">
        <v>26</v>
      </c>
      <c r="I527">
        <v>1277</v>
      </c>
      <c r="J527">
        <v>73044.399999999994</v>
      </c>
    </row>
    <row r="528" spans="1:10" x14ac:dyDescent="0.3">
      <c r="A528">
        <v>527</v>
      </c>
      <c r="B528">
        <v>151854932</v>
      </c>
      <c r="C528" t="s">
        <v>13</v>
      </c>
      <c r="D528" t="s">
        <v>14</v>
      </c>
      <c r="E528" s="1">
        <v>40422</v>
      </c>
      <c r="F528">
        <f t="shared" si="8"/>
        <v>3</v>
      </c>
      <c r="G528" t="s">
        <v>59</v>
      </c>
      <c r="H528" t="s">
        <v>19</v>
      </c>
      <c r="I528">
        <v>6104</v>
      </c>
      <c r="J528">
        <v>385345.52</v>
      </c>
    </row>
    <row r="529" spans="1:10" x14ac:dyDescent="0.3">
      <c r="A529">
        <v>528</v>
      </c>
      <c r="B529">
        <v>427811324</v>
      </c>
      <c r="C529" t="s">
        <v>13</v>
      </c>
      <c r="D529" t="s">
        <v>14</v>
      </c>
      <c r="E529" s="1">
        <v>40603</v>
      </c>
      <c r="F529">
        <f t="shared" si="8"/>
        <v>1</v>
      </c>
      <c r="G529" t="s">
        <v>31</v>
      </c>
      <c r="H529" t="s">
        <v>19</v>
      </c>
      <c r="I529">
        <v>7733</v>
      </c>
      <c r="J529">
        <v>488184.29</v>
      </c>
    </row>
    <row r="530" spans="1:10" x14ac:dyDescent="0.3">
      <c r="A530">
        <v>529</v>
      </c>
      <c r="B530">
        <v>251529252</v>
      </c>
      <c r="C530" t="s">
        <v>24</v>
      </c>
      <c r="D530" t="s">
        <v>14</v>
      </c>
      <c r="E530" s="1">
        <v>41000</v>
      </c>
      <c r="F530">
        <f t="shared" si="8"/>
        <v>2</v>
      </c>
      <c r="G530" t="s">
        <v>38</v>
      </c>
      <c r="H530" t="s">
        <v>16</v>
      </c>
      <c r="I530">
        <v>1950</v>
      </c>
      <c r="J530">
        <v>4699.5</v>
      </c>
    </row>
    <row r="531" spans="1:10" x14ac:dyDescent="0.3">
      <c r="A531">
        <v>530</v>
      </c>
      <c r="B531">
        <v>351182544</v>
      </c>
      <c r="C531" t="s">
        <v>34</v>
      </c>
      <c r="D531" t="s">
        <v>10</v>
      </c>
      <c r="E531" s="1">
        <v>41395</v>
      </c>
      <c r="F531">
        <f t="shared" si="8"/>
        <v>2</v>
      </c>
      <c r="G531" t="s">
        <v>54</v>
      </c>
      <c r="H531" t="s">
        <v>16</v>
      </c>
      <c r="I531">
        <v>1574</v>
      </c>
      <c r="J531">
        <v>86790.36</v>
      </c>
    </row>
    <row r="532" spans="1:10" x14ac:dyDescent="0.3">
      <c r="A532">
        <v>531</v>
      </c>
      <c r="B532">
        <v>175257527</v>
      </c>
      <c r="C532" t="s">
        <v>47</v>
      </c>
      <c r="D532" t="s">
        <v>10</v>
      </c>
      <c r="E532" s="1">
        <v>41852</v>
      </c>
      <c r="F532">
        <f t="shared" si="8"/>
        <v>3</v>
      </c>
      <c r="G532" t="s">
        <v>48</v>
      </c>
      <c r="H532" t="s">
        <v>16</v>
      </c>
      <c r="I532">
        <v>1452</v>
      </c>
      <c r="J532">
        <v>83054.399999999994</v>
      </c>
    </row>
    <row r="533" spans="1:10" x14ac:dyDescent="0.3">
      <c r="A533">
        <v>532</v>
      </c>
      <c r="B533">
        <v>142553031</v>
      </c>
      <c r="C533" t="s">
        <v>34</v>
      </c>
      <c r="D533" t="s">
        <v>14</v>
      </c>
      <c r="E533" s="1">
        <v>41456</v>
      </c>
      <c r="F533">
        <f t="shared" si="8"/>
        <v>3</v>
      </c>
      <c r="G533" t="s">
        <v>44</v>
      </c>
      <c r="H533" t="s">
        <v>26</v>
      </c>
      <c r="I533">
        <v>3465</v>
      </c>
      <c r="J533">
        <v>191060.1</v>
      </c>
    </row>
    <row r="534" spans="1:10" x14ac:dyDescent="0.3">
      <c r="A534">
        <v>533</v>
      </c>
      <c r="B534">
        <v>292180383</v>
      </c>
      <c r="C534" t="s">
        <v>24</v>
      </c>
      <c r="D534" t="s">
        <v>10</v>
      </c>
      <c r="E534" s="1">
        <v>42552</v>
      </c>
      <c r="F534">
        <f t="shared" si="8"/>
        <v>3</v>
      </c>
      <c r="G534" t="s">
        <v>45</v>
      </c>
      <c r="H534" t="s">
        <v>12</v>
      </c>
      <c r="I534">
        <v>1523</v>
      </c>
      <c r="J534">
        <v>3670.43</v>
      </c>
    </row>
    <row r="535" spans="1:10" x14ac:dyDescent="0.3">
      <c r="A535">
        <v>534</v>
      </c>
      <c r="B535">
        <v>733563411</v>
      </c>
      <c r="C535" t="s">
        <v>24</v>
      </c>
      <c r="D535" t="s">
        <v>10</v>
      </c>
      <c r="E535" s="1">
        <v>40787</v>
      </c>
      <c r="F535">
        <f t="shared" si="8"/>
        <v>3</v>
      </c>
      <c r="G535" t="s">
        <v>37</v>
      </c>
      <c r="H535" t="s">
        <v>26</v>
      </c>
      <c r="I535">
        <v>6569</v>
      </c>
      <c r="J535">
        <v>15831.29</v>
      </c>
    </row>
    <row r="536" spans="1:10" x14ac:dyDescent="0.3">
      <c r="A536">
        <v>535</v>
      </c>
      <c r="B536">
        <v>296438443</v>
      </c>
      <c r="C536" t="s">
        <v>41</v>
      </c>
      <c r="D536" t="s">
        <v>14</v>
      </c>
      <c r="E536" s="1">
        <v>40634</v>
      </c>
      <c r="F536">
        <f t="shared" si="8"/>
        <v>2</v>
      </c>
      <c r="G536" t="s">
        <v>33</v>
      </c>
      <c r="H536" t="s">
        <v>12</v>
      </c>
      <c r="I536">
        <v>1578</v>
      </c>
      <c r="J536">
        <v>24711.48</v>
      </c>
    </row>
    <row r="537" spans="1:10" x14ac:dyDescent="0.3">
      <c r="A537">
        <v>536</v>
      </c>
      <c r="B537">
        <v>580854308</v>
      </c>
      <c r="C537" t="s">
        <v>47</v>
      </c>
      <c r="D537" t="s">
        <v>10</v>
      </c>
      <c r="E537" s="1">
        <v>42767</v>
      </c>
      <c r="F537">
        <f t="shared" si="8"/>
        <v>1</v>
      </c>
      <c r="G537" t="s">
        <v>46</v>
      </c>
      <c r="H537" t="s">
        <v>28</v>
      </c>
      <c r="I537">
        <v>6552</v>
      </c>
      <c r="J537">
        <v>374774.4</v>
      </c>
    </row>
    <row r="538" spans="1:10" x14ac:dyDescent="0.3">
      <c r="A538">
        <v>537</v>
      </c>
      <c r="B538">
        <v>107172334</v>
      </c>
      <c r="C538" t="s">
        <v>9</v>
      </c>
      <c r="D538" t="s">
        <v>10</v>
      </c>
      <c r="E538" s="1">
        <v>42675</v>
      </c>
      <c r="F538">
        <f t="shared" si="8"/>
        <v>4</v>
      </c>
      <c r="G538" t="s">
        <v>38</v>
      </c>
      <c r="H538" t="s">
        <v>16</v>
      </c>
      <c r="I538">
        <v>3530</v>
      </c>
      <c r="J538">
        <v>613761.1</v>
      </c>
    </row>
    <row r="539" spans="1:10" x14ac:dyDescent="0.3">
      <c r="A539">
        <v>538</v>
      </c>
      <c r="B539">
        <v>166066348</v>
      </c>
      <c r="C539" t="s">
        <v>17</v>
      </c>
      <c r="D539" t="s">
        <v>10</v>
      </c>
      <c r="E539" s="1">
        <v>40452</v>
      </c>
      <c r="F539">
        <f t="shared" si="8"/>
        <v>4</v>
      </c>
      <c r="G539" t="s">
        <v>48</v>
      </c>
      <c r="H539" t="s">
        <v>16</v>
      </c>
      <c r="I539">
        <v>1578</v>
      </c>
      <c r="J539">
        <v>151267.07999999999</v>
      </c>
    </row>
    <row r="540" spans="1:10" x14ac:dyDescent="0.3">
      <c r="A540">
        <v>539</v>
      </c>
      <c r="B540">
        <v>768522679</v>
      </c>
      <c r="C540" t="s">
        <v>34</v>
      </c>
      <c r="D540" t="s">
        <v>10</v>
      </c>
      <c r="E540" s="1">
        <v>42064</v>
      </c>
      <c r="F540">
        <f t="shared" si="8"/>
        <v>1</v>
      </c>
      <c r="G540" t="s">
        <v>55</v>
      </c>
      <c r="H540" t="s">
        <v>26</v>
      </c>
      <c r="I540">
        <v>1794</v>
      </c>
      <c r="J540">
        <v>98921.16</v>
      </c>
    </row>
    <row r="541" spans="1:10" x14ac:dyDescent="0.3">
      <c r="A541">
        <v>540</v>
      </c>
      <c r="B541">
        <v>195840156</v>
      </c>
      <c r="C541" t="s">
        <v>36</v>
      </c>
      <c r="D541" t="s">
        <v>14</v>
      </c>
      <c r="E541" s="1">
        <v>41426</v>
      </c>
      <c r="F541">
        <f t="shared" si="8"/>
        <v>2</v>
      </c>
      <c r="G541" t="s">
        <v>59</v>
      </c>
      <c r="H541" t="s">
        <v>19</v>
      </c>
      <c r="I541">
        <v>2309</v>
      </c>
      <c r="J541">
        <v>382670.57</v>
      </c>
    </row>
    <row r="542" spans="1:10" x14ac:dyDescent="0.3">
      <c r="A542">
        <v>541</v>
      </c>
      <c r="B542">
        <v>849630105</v>
      </c>
      <c r="C542" t="s">
        <v>9</v>
      </c>
      <c r="D542" t="s">
        <v>10</v>
      </c>
      <c r="E542" s="1">
        <v>41183</v>
      </c>
      <c r="F542">
        <f t="shared" si="8"/>
        <v>4</v>
      </c>
      <c r="G542" t="s">
        <v>58</v>
      </c>
      <c r="H542" t="s">
        <v>26</v>
      </c>
      <c r="I542">
        <v>3284</v>
      </c>
      <c r="J542">
        <v>570989.07999999996</v>
      </c>
    </row>
    <row r="543" spans="1:10" x14ac:dyDescent="0.3">
      <c r="A543">
        <v>542</v>
      </c>
      <c r="B543">
        <v>701816356</v>
      </c>
      <c r="C543" t="s">
        <v>24</v>
      </c>
      <c r="D543" t="s">
        <v>10</v>
      </c>
      <c r="E543" s="1">
        <v>42917</v>
      </c>
      <c r="F543">
        <f t="shared" si="8"/>
        <v>3</v>
      </c>
      <c r="G543" t="s">
        <v>44</v>
      </c>
      <c r="H543" t="s">
        <v>26</v>
      </c>
      <c r="I543">
        <v>1910</v>
      </c>
      <c r="J543">
        <v>4603.1000000000004</v>
      </c>
    </row>
    <row r="544" spans="1:10" x14ac:dyDescent="0.3">
      <c r="A544">
        <v>543</v>
      </c>
      <c r="B544">
        <v>944635236</v>
      </c>
      <c r="C544" t="s">
        <v>40</v>
      </c>
      <c r="D544" t="s">
        <v>14</v>
      </c>
      <c r="E544" s="1">
        <v>40330</v>
      </c>
      <c r="F544">
        <f t="shared" si="8"/>
        <v>2</v>
      </c>
      <c r="G544" t="s">
        <v>33</v>
      </c>
      <c r="H544" t="s">
        <v>12</v>
      </c>
      <c r="I544">
        <v>7413</v>
      </c>
      <c r="J544">
        <v>935891.25</v>
      </c>
    </row>
    <row r="545" spans="1:10" x14ac:dyDescent="0.3">
      <c r="A545">
        <v>544</v>
      </c>
      <c r="B545">
        <v>140635573</v>
      </c>
      <c r="C545" t="s">
        <v>13</v>
      </c>
      <c r="D545" t="s">
        <v>14</v>
      </c>
      <c r="E545" s="1">
        <v>42767</v>
      </c>
      <c r="F545">
        <f t="shared" si="8"/>
        <v>1</v>
      </c>
      <c r="G545" t="s">
        <v>56</v>
      </c>
      <c r="H545" t="s">
        <v>19</v>
      </c>
      <c r="I545">
        <v>6046</v>
      </c>
      <c r="J545">
        <v>381683.98</v>
      </c>
    </row>
    <row r="546" spans="1:10" x14ac:dyDescent="0.3">
      <c r="A546">
        <v>545</v>
      </c>
      <c r="B546">
        <v>972678697</v>
      </c>
      <c r="C546" t="s">
        <v>47</v>
      </c>
      <c r="D546" t="s">
        <v>14</v>
      </c>
      <c r="E546" s="1">
        <v>40544</v>
      </c>
      <c r="F546">
        <f t="shared" si="8"/>
        <v>1</v>
      </c>
      <c r="G546" t="s">
        <v>58</v>
      </c>
      <c r="H546" t="s">
        <v>26</v>
      </c>
      <c r="I546">
        <v>6096</v>
      </c>
      <c r="J546">
        <v>348691.20000000001</v>
      </c>
    </row>
    <row r="547" spans="1:10" x14ac:dyDescent="0.3">
      <c r="A547">
        <v>546</v>
      </c>
      <c r="B547">
        <v>793938434</v>
      </c>
      <c r="C547" t="s">
        <v>24</v>
      </c>
      <c r="D547" t="s">
        <v>14</v>
      </c>
      <c r="E547" s="1">
        <v>42370</v>
      </c>
      <c r="F547">
        <f t="shared" si="8"/>
        <v>1</v>
      </c>
      <c r="G547" t="s">
        <v>58</v>
      </c>
      <c r="H547" t="s">
        <v>26</v>
      </c>
      <c r="I547">
        <v>2880</v>
      </c>
      <c r="J547">
        <v>6940.8</v>
      </c>
    </row>
    <row r="548" spans="1:10" x14ac:dyDescent="0.3">
      <c r="A548">
        <v>547</v>
      </c>
      <c r="B548">
        <v>177901113</v>
      </c>
      <c r="C548" t="s">
        <v>17</v>
      </c>
      <c r="D548" t="s">
        <v>14</v>
      </c>
      <c r="E548" s="1">
        <v>40725</v>
      </c>
      <c r="F548">
        <f t="shared" si="8"/>
        <v>3</v>
      </c>
      <c r="G548" t="s">
        <v>52</v>
      </c>
      <c r="H548" t="s">
        <v>19</v>
      </c>
      <c r="I548">
        <v>3747</v>
      </c>
      <c r="J548">
        <v>359187.42</v>
      </c>
    </row>
    <row r="549" spans="1:10" x14ac:dyDescent="0.3">
      <c r="A549">
        <v>548</v>
      </c>
      <c r="B549">
        <v>668365561</v>
      </c>
      <c r="C549" t="s">
        <v>41</v>
      </c>
      <c r="D549" t="s">
        <v>14</v>
      </c>
      <c r="E549" s="1">
        <v>40969</v>
      </c>
      <c r="F549">
        <f t="shared" si="8"/>
        <v>1</v>
      </c>
      <c r="G549" t="s">
        <v>54</v>
      </c>
      <c r="H549" t="s">
        <v>16</v>
      </c>
      <c r="I549">
        <v>3077</v>
      </c>
      <c r="J549">
        <v>48185.82</v>
      </c>
    </row>
    <row r="550" spans="1:10" x14ac:dyDescent="0.3">
      <c r="A550">
        <v>549</v>
      </c>
      <c r="B550">
        <v>729443109</v>
      </c>
      <c r="C550" t="s">
        <v>13</v>
      </c>
      <c r="D550" t="s">
        <v>14</v>
      </c>
      <c r="E550" s="1">
        <v>40513</v>
      </c>
      <c r="F550">
        <f t="shared" si="8"/>
        <v>4</v>
      </c>
      <c r="G550" t="s">
        <v>56</v>
      </c>
      <c r="H550" t="s">
        <v>19</v>
      </c>
      <c r="I550">
        <v>7281</v>
      </c>
      <c r="J550">
        <v>459649.53</v>
      </c>
    </row>
    <row r="551" spans="1:10" x14ac:dyDescent="0.3">
      <c r="A551">
        <v>550</v>
      </c>
      <c r="B551">
        <v>695557582</v>
      </c>
      <c r="C551" t="s">
        <v>24</v>
      </c>
      <c r="D551" t="s">
        <v>10</v>
      </c>
      <c r="E551" s="1">
        <v>41334</v>
      </c>
      <c r="F551">
        <f t="shared" si="8"/>
        <v>1</v>
      </c>
      <c r="G551" t="s">
        <v>25</v>
      </c>
      <c r="H551" t="s">
        <v>26</v>
      </c>
      <c r="I551">
        <v>9800</v>
      </c>
      <c r="J551">
        <v>23618</v>
      </c>
    </row>
    <row r="552" spans="1:10" x14ac:dyDescent="0.3">
      <c r="A552">
        <v>551</v>
      </c>
      <c r="B552">
        <v>521445310</v>
      </c>
      <c r="C552" t="s">
        <v>36</v>
      </c>
      <c r="D552" t="s">
        <v>10</v>
      </c>
      <c r="E552" s="1">
        <v>40210</v>
      </c>
      <c r="F552">
        <f t="shared" si="8"/>
        <v>1</v>
      </c>
      <c r="G552" t="s">
        <v>31</v>
      </c>
      <c r="H552" t="s">
        <v>19</v>
      </c>
      <c r="I552">
        <v>6110</v>
      </c>
      <c r="J552">
        <v>1012610.3</v>
      </c>
    </row>
    <row r="553" spans="1:10" x14ac:dyDescent="0.3">
      <c r="A553">
        <v>552</v>
      </c>
      <c r="B553">
        <v>232155120</v>
      </c>
      <c r="C553" t="s">
        <v>43</v>
      </c>
      <c r="D553" t="s">
        <v>14</v>
      </c>
      <c r="E553" s="1">
        <v>41306</v>
      </c>
      <c r="F553">
        <f t="shared" si="8"/>
        <v>1</v>
      </c>
      <c r="G553" t="s">
        <v>42</v>
      </c>
      <c r="H553" t="s">
        <v>26</v>
      </c>
      <c r="I553">
        <v>8714</v>
      </c>
      <c r="J553">
        <v>218372.84</v>
      </c>
    </row>
    <row r="554" spans="1:10" x14ac:dyDescent="0.3">
      <c r="A554">
        <v>553</v>
      </c>
      <c r="B554">
        <v>373048341</v>
      </c>
      <c r="C554" t="s">
        <v>41</v>
      </c>
      <c r="D554" t="s">
        <v>14</v>
      </c>
      <c r="E554" s="1">
        <v>40817</v>
      </c>
      <c r="F554">
        <f t="shared" si="8"/>
        <v>4</v>
      </c>
      <c r="G554" t="s">
        <v>27</v>
      </c>
      <c r="H554" t="s">
        <v>28</v>
      </c>
      <c r="I554">
        <v>2149</v>
      </c>
      <c r="J554">
        <v>33653.339999999997</v>
      </c>
    </row>
    <row r="555" spans="1:10" x14ac:dyDescent="0.3">
      <c r="A555">
        <v>554</v>
      </c>
      <c r="B555">
        <v>659798800</v>
      </c>
      <c r="C555" t="s">
        <v>40</v>
      </c>
      <c r="D555" t="s">
        <v>10</v>
      </c>
      <c r="E555" s="1">
        <v>42278</v>
      </c>
      <c r="F555">
        <f t="shared" si="8"/>
        <v>4</v>
      </c>
      <c r="G555" t="s">
        <v>35</v>
      </c>
      <c r="H555" t="s">
        <v>19</v>
      </c>
      <c r="I555">
        <v>7982</v>
      </c>
      <c r="J555">
        <v>1007727.5</v>
      </c>
    </row>
    <row r="556" spans="1:10" x14ac:dyDescent="0.3">
      <c r="A556">
        <v>555</v>
      </c>
      <c r="B556">
        <v>428392827</v>
      </c>
      <c r="C556" t="s">
        <v>36</v>
      </c>
      <c r="D556" t="s">
        <v>14</v>
      </c>
      <c r="E556" s="1">
        <v>41306</v>
      </c>
      <c r="F556">
        <f t="shared" si="8"/>
        <v>1</v>
      </c>
      <c r="G556" t="s">
        <v>58</v>
      </c>
      <c r="H556" t="s">
        <v>26</v>
      </c>
      <c r="I556">
        <v>9812</v>
      </c>
      <c r="J556">
        <v>1626142.76</v>
      </c>
    </row>
    <row r="557" spans="1:10" x14ac:dyDescent="0.3">
      <c r="A557">
        <v>556</v>
      </c>
      <c r="B557">
        <v>885129249</v>
      </c>
      <c r="C557" t="s">
        <v>43</v>
      </c>
      <c r="D557" t="s">
        <v>10</v>
      </c>
      <c r="E557" s="1">
        <v>40756</v>
      </c>
      <c r="F557">
        <f t="shared" si="8"/>
        <v>3</v>
      </c>
      <c r="G557" t="s">
        <v>48</v>
      </c>
      <c r="H557" t="s">
        <v>16</v>
      </c>
      <c r="I557">
        <v>8269</v>
      </c>
      <c r="J557">
        <v>207221.14</v>
      </c>
    </row>
    <row r="558" spans="1:10" x14ac:dyDescent="0.3">
      <c r="A558">
        <v>557</v>
      </c>
      <c r="B558">
        <v>156619393</v>
      </c>
      <c r="C558" t="s">
        <v>47</v>
      </c>
      <c r="D558" t="s">
        <v>14</v>
      </c>
      <c r="E558" s="1">
        <v>41244</v>
      </c>
      <c r="F558">
        <f t="shared" si="8"/>
        <v>4</v>
      </c>
      <c r="G558" t="s">
        <v>49</v>
      </c>
      <c r="H558" t="s">
        <v>19</v>
      </c>
      <c r="I558">
        <v>6014</v>
      </c>
      <c r="J558">
        <v>344000.8</v>
      </c>
    </row>
    <row r="559" spans="1:10" x14ac:dyDescent="0.3">
      <c r="A559">
        <v>558</v>
      </c>
      <c r="B559">
        <v>939787089</v>
      </c>
      <c r="C559" t="s">
        <v>17</v>
      </c>
      <c r="D559" t="s">
        <v>10</v>
      </c>
      <c r="E559" s="1">
        <v>42248</v>
      </c>
      <c r="F559">
        <f t="shared" si="8"/>
        <v>3</v>
      </c>
      <c r="G559" t="s">
        <v>52</v>
      </c>
      <c r="H559" t="s">
        <v>19</v>
      </c>
      <c r="I559">
        <v>2739</v>
      </c>
      <c r="J559">
        <v>262560.53999999998</v>
      </c>
    </row>
    <row r="560" spans="1:10" x14ac:dyDescent="0.3">
      <c r="A560">
        <v>559</v>
      </c>
      <c r="B560">
        <v>151868665</v>
      </c>
      <c r="C560" t="s">
        <v>13</v>
      </c>
      <c r="D560" t="s">
        <v>14</v>
      </c>
      <c r="E560" s="1">
        <v>40969</v>
      </c>
      <c r="F560">
        <f t="shared" si="8"/>
        <v>1</v>
      </c>
      <c r="G560" t="s">
        <v>53</v>
      </c>
      <c r="H560" t="s">
        <v>16</v>
      </c>
      <c r="I560">
        <v>168</v>
      </c>
      <c r="J560">
        <v>10605.84</v>
      </c>
    </row>
    <row r="561" spans="1:10" x14ac:dyDescent="0.3">
      <c r="A561">
        <v>560</v>
      </c>
      <c r="B561">
        <v>180412948</v>
      </c>
      <c r="C561" t="s">
        <v>20</v>
      </c>
      <c r="D561" t="s">
        <v>10</v>
      </c>
      <c r="E561" s="1">
        <v>41852</v>
      </c>
      <c r="F561">
        <f t="shared" si="8"/>
        <v>3</v>
      </c>
      <c r="G561" t="s">
        <v>45</v>
      </c>
      <c r="H561" t="s">
        <v>12</v>
      </c>
      <c r="I561">
        <v>7055</v>
      </c>
      <c r="J561">
        <v>625002.44999999995</v>
      </c>
    </row>
    <row r="562" spans="1:10" x14ac:dyDescent="0.3">
      <c r="A562">
        <v>561</v>
      </c>
      <c r="B562">
        <v>333281266</v>
      </c>
      <c r="C562" t="s">
        <v>24</v>
      </c>
      <c r="D562" t="s">
        <v>10</v>
      </c>
      <c r="E562" s="1">
        <v>41456</v>
      </c>
      <c r="F562">
        <f t="shared" si="8"/>
        <v>3</v>
      </c>
      <c r="G562" t="s">
        <v>55</v>
      </c>
      <c r="H562" t="s">
        <v>26</v>
      </c>
      <c r="I562">
        <v>4188</v>
      </c>
      <c r="J562">
        <v>10093.08</v>
      </c>
    </row>
    <row r="563" spans="1:10" x14ac:dyDescent="0.3">
      <c r="A563">
        <v>562</v>
      </c>
      <c r="B563">
        <v>888647449</v>
      </c>
      <c r="C563" t="s">
        <v>9</v>
      </c>
      <c r="D563" t="s">
        <v>14</v>
      </c>
      <c r="E563" s="1">
        <v>40909</v>
      </c>
      <c r="F563">
        <f t="shared" si="8"/>
        <v>1</v>
      </c>
      <c r="G563" t="s">
        <v>45</v>
      </c>
      <c r="H563" t="s">
        <v>12</v>
      </c>
      <c r="I563">
        <v>9383</v>
      </c>
      <c r="J563">
        <v>1631422.21</v>
      </c>
    </row>
    <row r="564" spans="1:10" x14ac:dyDescent="0.3">
      <c r="A564">
        <v>563</v>
      </c>
      <c r="B564">
        <v>844997823</v>
      </c>
      <c r="C564" t="s">
        <v>30</v>
      </c>
      <c r="D564" t="s">
        <v>10</v>
      </c>
      <c r="E564" s="1">
        <v>41699</v>
      </c>
      <c r="F564">
        <f t="shared" si="8"/>
        <v>1</v>
      </c>
      <c r="G564" t="s">
        <v>35</v>
      </c>
      <c r="H564" t="s">
        <v>19</v>
      </c>
      <c r="I564">
        <v>2488</v>
      </c>
      <c r="J564">
        <v>182718.72</v>
      </c>
    </row>
    <row r="565" spans="1:10" x14ac:dyDescent="0.3">
      <c r="A565">
        <v>564</v>
      </c>
      <c r="B565">
        <v>171131217</v>
      </c>
      <c r="C565" t="s">
        <v>24</v>
      </c>
      <c r="D565" t="s">
        <v>14</v>
      </c>
      <c r="E565" s="1">
        <v>41518</v>
      </c>
      <c r="F565">
        <f t="shared" si="8"/>
        <v>3</v>
      </c>
      <c r="G565" t="s">
        <v>57</v>
      </c>
      <c r="H565" t="s">
        <v>16</v>
      </c>
      <c r="I565">
        <v>385</v>
      </c>
      <c r="J565">
        <v>927.85</v>
      </c>
    </row>
    <row r="566" spans="1:10" x14ac:dyDescent="0.3">
      <c r="A566">
        <v>565</v>
      </c>
      <c r="B566">
        <v>256158959</v>
      </c>
      <c r="C566" t="s">
        <v>40</v>
      </c>
      <c r="D566" t="s">
        <v>14</v>
      </c>
      <c r="E566" s="1">
        <v>41275</v>
      </c>
      <c r="F566">
        <f t="shared" si="8"/>
        <v>1</v>
      </c>
      <c r="G566" t="s">
        <v>45</v>
      </c>
      <c r="H566" t="s">
        <v>12</v>
      </c>
      <c r="I566">
        <v>1983</v>
      </c>
      <c r="J566">
        <v>250353.75</v>
      </c>
    </row>
    <row r="567" spans="1:10" x14ac:dyDescent="0.3">
      <c r="A567">
        <v>566</v>
      </c>
      <c r="B567">
        <v>759504878</v>
      </c>
      <c r="C567" t="s">
        <v>9</v>
      </c>
      <c r="D567" t="s">
        <v>14</v>
      </c>
      <c r="E567" s="1">
        <v>40817</v>
      </c>
      <c r="F567">
        <f t="shared" si="8"/>
        <v>4</v>
      </c>
      <c r="G567" t="s">
        <v>59</v>
      </c>
      <c r="H567" t="s">
        <v>19</v>
      </c>
      <c r="I567">
        <v>3226</v>
      </c>
      <c r="J567">
        <v>560904.62</v>
      </c>
    </row>
    <row r="568" spans="1:10" x14ac:dyDescent="0.3">
      <c r="A568">
        <v>567</v>
      </c>
      <c r="B568">
        <v>960905301</v>
      </c>
      <c r="C568" t="s">
        <v>24</v>
      </c>
      <c r="D568" t="s">
        <v>14</v>
      </c>
      <c r="E568" s="1">
        <v>40483</v>
      </c>
      <c r="F568">
        <f t="shared" si="8"/>
        <v>4</v>
      </c>
      <c r="G568" t="s">
        <v>25</v>
      </c>
      <c r="H568" t="s">
        <v>26</v>
      </c>
      <c r="I568">
        <v>2087</v>
      </c>
      <c r="J568">
        <v>5029.67</v>
      </c>
    </row>
    <row r="569" spans="1:10" x14ac:dyDescent="0.3">
      <c r="A569">
        <v>568</v>
      </c>
      <c r="B569">
        <v>210409057</v>
      </c>
      <c r="C569" t="s">
        <v>40</v>
      </c>
      <c r="D569" t="s">
        <v>10</v>
      </c>
      <c r="E569" s="1">
        <v>42278</v>
      </c>
      <c r="F569">
        <f t="shared" si="8"/>
        <v>4</v>
      </c>
      <c r="G569" t="s">
        <v>51</v>
      </c>
      <c r="H569" t="s">
        <v>26</v>
      </c>
      <c r="I569">
        <v>3570</v>
      </c>
      <c r="J569">
        <v>450712.5</v>
      </c>
    </row>
    <row r="570" spans="1:10" x14ac:dyDescent="0.3">
      <c r="A570">
        <v>569</v>
      </c>
      <c r="B570">
        <v>178377473</v>
      </c>
      <c r="C570" t="s">
        <v>9</v>
      </c>
      <c r="D570" t="s">
        <v>10</v>
      </c>
      <c r="E570" s="1">
        <v>40360</v>
      </c>
      <c r="F570">
        <f t="shared" si="8"/>
        <v>3</v>
      </c>
      <c r="G570" t="s">
        <v>38</v>
      </c>
      <c r="H570" t="s">
        <v>16</v>
      </c>
      <c r="I570">
        <v>4713</v>
      </c>
      <c r="J570">
        <v>819449.31</v>
      </c>
    </row>
    <row r="571" spans="1:10" x14ac:dyDescent="0.3">
      <c r="A571">
        <v>570</v>
      </c>
      <c r="B571">
        <v>805484378</v>
      </c>
      <c r="C571" t="s">
        <v>24</v>
      </c>
      <c r="D571" t="s">
        <v>14</v>
      </c>
      <c r="E571" s="1">
        <v>41699</v>
      </c>
      <c r="F571">
        <f t="shared" si="8"/>
        <v>1</v>
      </c>
      <c r="G571" t="s">
        <v>51</v>
      </c>
      <c r="H571" t="s">
        <v>26</v>
      </c>
      <c r="I571">
        <v>9582</v>
      </c>
      <c r="J571">
        <v>23092.62</v>
      </c>
    </row>
    <row r="572" spans="1:10" x14ac:dyDescent="0.3">
      <c r="A572">
        <v>571</v>
      </c>
      <c r="B572">
        <v>752716100</v>
      </c>
      <c r="C572" t="s">
        <v>41</v>
      </c>
      <c r="D572" t="s">
        <v>14</v>
      </c>
      <c r="E572" s="1">
        <v>42614</v>
      </c>
      <c r="F572">
        <f t="shared" si="8"/>
        <v>3</v>
      </c>
      <c r="G572" t="s">
        <v>32</v>
      </c>
      <c r="H572" t="s">
        <v>26</v>
      </c>
      <c r="I572">
        <v>4276</v>
      </c>
      <c r="J572">
        <v>66962.16</v>
      </c>
    </row>
    <row r="573" spans="1:10" x14ac:dyDescent="0.3">
      <c r="A573">
        <v>572</v>
      </c>
      <c r="B573">
        <v>551371467</v>
      </c>
      <c r="C573" t="s">
        <v>30</v>
      </c>
      <c r="D573" t="s">
        <v>14</v>
      </c>
      <c r="E573" s="1">
        <v>41153</v>
      </c>
      <c r="F573">
        <f t="shared" si="8"/>
        <v>3</v>
      </c>
      <c r="G573" t="s">
        <v>32</v>
      </c>
      <c r="H573" t="s">
        <v>26</v>
      </c>
      <c r="I573">
        <v>1925</v>
      </c>
      <c r="J573">
        <v>141372</v>
      </c>
    </row>
    <row r="574" spans="1:10" x14ac:dyDescent="0.3">
      <c r="A574">
        <v>573</v>
      </c>
      <c r="B574">
        <v>353061807</v>
      </c>
      <c r="C574" t="s">
        <v>34</v>
      </c>
      <c r="D574" t="s">
        <v>10</v>
      </c>
      <c r="E574" s="1">
        <v>41306</v>
      </c>
      <c r="F574">
        <f t="shared" si="8"/>
        <v>1</v>
      </c>
      <c r="G574" t="s">
        <v>21</v>
      </c>
      <c r="H574" t="s">
        <v>19</v>
      </c>
      <c r="I574">
        <v>7689</v>
      </c>
      <c r="J574">
        <v>423971.46</v>
      </c>
    </row>
    <row r="575" spans="1:10" x14ac:dyDescent="0.3">
      <c r="A575">
        <v>574</v>
      </c>
      <c r="B575">
        <v>379710948</v>
      </c>
      <c r="C575" t="s">
        <v>43</v>
      </c>
      <c r="D575" t="s">
        <v>14</v>
      </c>
      <c r="E575" s="1">
        <v>40544</v>
      </c>
      <c r="F575">
        <f t="shared" si="8"/>
        <v>1</v>
      </c>
      <c r="G575" t="s">
        <v>56</v>
      </c>
      <c r="H575" t="s">
        <v>19</v>
      </c>
      <c r="I575">
        <v>3762</v>
      </c>
      <c r="J575">
        <v>94275.72</v>
      </c>
    </row>
    <row r="576" spans="1:10" x14ac:dyDescent="0.3">
      <c r="A576">
        <v>575</v>
      </c>
      <c r="B576">
        <v>473555219</v>
      </c>
      <c r="C576" t="s">
        <v>20</v>
      </c>
      <c r="D576" t="s">
        <v>14</v>
      </c>
      <c r="E576" s="1">
        <v>42278</v>
      </c>
      <c r="F576">
        <f t="shared" si="8"/>
        <v>4</v>
      </c>
      <c r="G576" t="s">
        <v>56</v>
      </c>
      <c r="H576" t="s">
        <v>19</v>
      </c>
      <c r="I576">
        <v>4368</v>
      </c>
      <c r="J576">
        <v>386961.12</v>
      </c>
    </row>
    <row r="577" spans="1:10" x14ac:dyDescent="0.3">
      <c r="A577">
        <v>576</v>
      </c>
      <c r="B577">
        <v>547143447</v>
      </c>
      <c r="C577" t="s">
        <v>40</v>
      </c>
      <c r="D577" t="s">
        <v>14</v>
      </c>
      <c r="E577" s="1">
        <v>40575</v>
      </c>
      <c r="F577">
        <f t="shared" si="8"/>
        <v>1</v>
      </c>
      <c r="G577" t="s">
        <v>11</v>
      </c>
      <c r="H577" t="s">
        <v>12</v>
      </c>
      <c r="I577">
        <v>760</v>
      </c>
      <c r="J577">
        <v>95950</v>
      </c>
    </row>
    <row r="578" spans="1:10" x14ac:dyDescent="0.3">
      <c r="A578">
        <v>577</v>
      </c>
      <c r="B578">
        <v>133336961</v>
      </c>
      <c r="C578" t="s">
        <v>43</v>
      </c>
      <c r="D578" t="s">
        <v>14</v>
      </c>
      <c r="E578" s="1">
        <v>41000</v>
      </c>
      <c r="F578">
        <f t="shared" ref="F578:F641" si="9">ROUNDUP(MONTH(E578)/3,0)</f>
        <v>2</v>
      </c>
      <c r="G578" t="s">
        <v>39</v>
      </c>
      <c r="H578" t="s">
        <v>28</v>
      </c>
      <c r="I578">
        <v>6225</v>
      </c>
      <c r="J578">
        <v>155998.5</v>
      </c>
    </row>
    <row r="579" spans="1:10" x14ac:dyDescent="0.3">
      <c r="A579">
        <v>578</v>
      </c>
      <c r="B579">
        <v>635309588</v>
      </c>
      <c r="C579" t="s">
        <v>47</v>
      </c>
      <c r="D579" t="s">
        <v>14</v>
      </c>
      <c r="E579" s="1">
        <v>42583</v>
      </c>
      <c r="F579">
        <f t="shared" si="9"/>
        <v>3</v>
      </c>
      <c r="G579" t="s">
        <v>15</v>
      </c>
      <c r="H579" t="s">
        <v>16</v>
      </c>
      <c r="I579">
        <v>1080</v>
      </c>
      <c r="J579">
        <v>61776</v>
      </c>
    </row>
    <row r="580" spans="1:10" x14ac:dyDescent="0.3">
      <c r="A580">
        <v>579</v>
      </c>
      <c r="B580">
        <v>376547658</v>
      </c>
      <c r="C580" t="s">
        <v>41</v>
      </c>
      <c r="D580" t="s">
        <v>14</v>
      </c>
      <c r="E580" s="1">
        <v>41974</v>
      </c>
      <c r="F580">
        <f t="shared" si="9"/>
        <v>4</v>
      </c>
      <c r="G580" t="s">
        <v>31</v>
      </c>
      <c r="H580" t="s">
        <v>19</v>
      </c>
      <c r="I580">
        <v>7675</v>
      </c>
      <c r="J580">
        <v>120190.5</v>
      </c>
    </row>
    <row r="581" spans="1:10" x14ac:dyDescent="0.3">
      <c r="A581">
        <v>580</v>
      </c>
      <c r="B581">
        <v>450849997</v>
      </c>
      <c r="C581" t="s">
        <v>30</v>
      </c>
      <c r="D581" t="s">
        <v>10</v>
      </c>
      <c r="E581" s="1">
        <v>40330</v>
      </c>
      <c r="F581">
        <f t="shared" si="9"/>
        <v>2</v>
      </c>
      <c r="G581" t="s">
        <v>35</v>
      </c>
      <c r="H581" t="s">
        <v>19</v>
      </c>
      <c r="I581">
        <v>5388</v>
      </c>
      <c r="J581">
        <v>395694.72</v>
      </c>
    </row>
    <row r="582" spans="1:10" x14ac:dyDescent="0.3">
      <c r="A582">
        <v>581</v>
      </c>
      <c r="B582">
        <v>672327935</v>
      </c>
      <c r="C582" t="s">
        <v>43</v>
      </c>
      <c r="D582" t="s">
        <v>14</v>
      </c>
      <c r="E582" s="1">
        <v>42036</v>
      </c>
      <c r="F582">
        <f t="shared" si="9"/>
        <v>1</v>
      </c>
      <c r="G582" t="s">
        <v>45</v>
      </c>
      <c r="H582" t="s">
        <v>12</v>
      </c>
      <c r="I582">
        <v>5631</v>
      </c>
      <c r="J582">
        <v>141112.85999999999</v>
      </c>
    </row>
    <row r="583" spans="1:10" x14ac:dyDescent="0.3">
      <c r="A583">
        <v>582</v>
      </c>
      <c r="B583">
        <v>925405299</v>
      </c>
      <c r="C583" t="s">
        <v>20</v>
      </c>
      <c r="D583" t="s">
        <v>10</v>
      </c>
      <c r="E583" s="1">
        <v>42064</v>
      </c>
      <c r="F583">
        <f t="shared" si="9"/>
        <v>1</v>
      </c>
      <c r="G583" t="s">
        <v>51</v>
      </c>
      <c r="H583" t="s">
        <v>26</v>
      </c>
      <c r="I583">
        <v>6847</v>
      </c>
      <c r="J583">
        <v>606575.73</v>
      </c>
    </row>
    <row r="584" spans="1:10" x14ac:dyDescent="0.3">
      <c r="A584">
        <v>583</v>
      </c>
      <c r="B584">
        <v>714818418</v>
      </c>
      <c r="C584" t="s">
        <v>36</v>
      </c>
      <c r="D584" t="s">
        <v>10</v>
      </c>
      <c r="E584" s="1">
        <v>41456</v>
      </c>
      <c r="F584">
        <f t="shared" si="9"/>
        <v>3</v>
      </c>
      <c r="G584" t="s">
        <v>21</v>
      </c>
      <c r="H584" t="s">
        <v>19</v>
      </c>
      <c r="I584">
        <v>9509</v>
      </c>
      <c r="J584">
        <v>1575926.57</v>
      </c>
    </row>
    <row r="585" spans="1:10" x14ac:dyDescent="0.3">
      <c r="A585">
        <v>584</v>
      </c>
      <c r="B585">
        <v>515616118</v>
      </c>
      <c r="C585" t="s">
        <v>41</v>
      </c>
      <c r="D585" t="s">
        <v>10</v>
      </c>
      <c r="E585" s="1">
        <v>40179</v>
      </c>
      <c r="F585">
        <f t="shared" si="9"/>
        <v>1</v>
      </c>
      <c r="G585" t="s">
        <v>21</v>
      </c>
      <c r="H585" t="s">
        <v>19</v>
      </c>
      <c r="I585">
        <v>1122</v>
      </c>
      <c r="J585">
        <v>17570.52</v>
      </c>
    </row>
    <row r="586" spans="1:10" x14ac:dyDescent="0.3">
      <c r="A586">
        <v>585</v>
      </c>
      <c r="B586">
        <v>423159730</v>
      </c>
      <c r="C586" t="s">
        <v>20</v>
      </c>
      <c r="D586" t="s">
        <v>10</v>
      </c>
      <c r="E586" s="1">
        <v>41306</v>
      </c>
      <c r="F586">
        <f t="shared" si="9"/>
        <v>1</v>
      </c>
      <c r="G586" t="s">
        <v>49</v>
      </c>
      <c r="H586" t="s">
        <v>19</v>
      </c>
      <c r="I586">
        <v>1222</v>
      </c>
      <c r="J586">
        <v>108256.98</v>
      </c>
    </row>
    <row r="587" spans="1:10" x14ac:dyDescent="0.3">
      <c r="A587">
        <v>586</v>
      </c>
      <c r="B587">
        <v>603123080</v>
      </c>
      <c r="C587" t="s">
        <v>43</v>
      </c>
      <c r="D587" t="s">
        <v>10</v>
      </c>
      <c r="E587" s="1">
        <v>41487</v>
      </c>
      <c r="F587">
        <f t="shared" si="9"/>
        <v>3</v>
      </c>
      <c r="G587" t="s">
        <v>52</v>
      </c>
      <c r="H587" t="s">
        <v>19</v>
      </c>
      <c r="I587">
        <v>6377</v>
      </c>
      <c r="J587">
        <v>159807.62</v>
      </c>
    </row>
    <row r="588" spans="1:10" x14ac:dyDescent="0.3">
      <c r="A588">
        <v>587</v>
      </c>
      <c r="B588">
        <v>841492497</v>
      </c>
      <c r="C588" t="s">
        <v>47</v>
      </c>
      <c r="D588" t="s">
        <v>10</v>
      </c>
      <c r="E588" s="1">
        <v>40483</v>
      </c>
      <c r="F588">
        <f t="shared" si="9"/>
        <v>4</v>
      </c>
      <c r="G588" t="s">
        <v>11</v>
      </c>
      <c r="H588" t="s">
        <v>12</v>
      </c>
      <c r="I588">
        <v>5185</v>
      </c>
      <c r="J588">
        <v>296582</v>
      </c>
    </row>
    <row r="589" spans="1:10" x14ac:dyDescent="0.3">
      <c r="A589">
        <v>588</v>
      </c>
      <c r="B589">
        <v>994566810</v>
      </c>
      <c r="C589" t="s">
        <v>20</v>
      </c>
      <c r="D589" t="s">
        <v>10</v>
      </c>
      <c r="E589" s="1">
        <v>42583</v>
      </c>
      <c r="F589">
        <f t="shared" si="9"/>
        <v>3</v>
      </c>
      <c r="G589" t="s">
        <v>53</v>
      </c>
      <c r="H589" t="s">
        <v>16</v>
      </c>
      <c r="I589">
        <v>3275</v>
      </c>
      <c r="J589">
        <v>290132.25</v>
      </c>
    </row>
    <row r="590" spans="1:10" x14ac:dyDescent="0.3">
      <c r="A590">
        <v>589</v>
      </c>
      <c r="B590">
        <v>538957345</v>
      </c>
      <c r="C590" t="s">
        <v>13</v>
      </c>
      <c r="D590" t="s">
        <v>10</v>
      </c>
      <c r="E590" s="1">
        <v>41365</v>
      </c>
      <c r="F590">
        <f t="shared" si="9"/>
        <v>2</v>
      </c>
      <c r="G590" t="s">
        <v>38</v>
      </c>
      <c r="H590" t="s">
        <v>16</v>
      </c>
      <c r="I590">
        <v>8310</v>
      </c>
      <c r="J590">
        <v>524610.30000000005</v>
      </c>
    </row>
    <row r="591" spans="1:10" x14ac:dyDescent="0.3">
      <c r="A591">
        <v>590</v>
      </c>
      <c r="B591">
        <v>821587932</v>
      </c>
      <c r="C591" t="s">
        <v>24</v>
      </c>
      <c r="D591" t="s">
        <v>10</v>
      </c>
      <c r="E591" s="1">
        <v>40603</v>
      </c>
      <c r="F591">
        <f t="shared" si="9"/>
        <v>1</v>
      </c>
      <c r="G591" t="s">
        <v>55</v>
      </c>
      <c r="H591" t="s">
        <v>26</v>
      </c>
      <c r="I591">
        <v>4981</v>
      </c>
      <c r="J591">
        <v>12004.21</v>
      </c>
    </row>
    <row r="592" spans="1:10" x14ac:dyDescent="0.3">
      <c r="A592">
        <v>591</v>
      </c>
      <c r="B592">
        <v>109694898</v>
      </c>
      <c r="C592" t="s">
        <v>36</v>
      </c>
      <c r="D592" t="s">
        <v>14</v>
      </c>
      <c r="E592" s="1">
        <v>41518</v>
      </c>
      <c r="F592">
        <f t="shared" si="9"/>
        <v>3</v>
      </c>
      <c r="G592" t="s">
        <v>18</v>
      </c>
      <c r="H592" t="s">
        <v>19</v>
      </c>
      <c r="I592">
        <v>13</v>
      </c>
      <c r="J592">
        <v>2154.4899999999998</v>
      </c>
    </row>
    <row r="593" spans="1:10" x14ac:dyDescent="0.3">
      <c r="A593">
        <v>592</v>
      </c>
      <c r="B593">
        <v>340827071</v>
      </c>
      <c r="C593" t="s">
        <v>47</v>
      </c>
      <c r="D593" t="s">
        <v>10</v>
      </c>
      <c r="E593" s="1">
        <v>41760</v>
      </c>
      <c r="F593">
        <f t="shared" si="9"/>
        <v>2</v>
      </c>
      <c r="G593" t="s">
        <v>49</v>
      </c>
      <c r="H593" t="s">
        <v>19</v>
      </c>
      <c r="I593">
        <v>7159</v>
      </c>
      <c r="J593">
        <v>409494.8</v>
      </c>
    </row>
    <row r="594" spans="1:10" x14ac:dyDescent="0.3">
      <c r="A594">
        <v>593</v>
      </c>
      <c r="B594">
        <v>372845780</v>
      </c>
      <c r="C594" t="s">
        <v>47</v>
      </c>
      <c r="D594" t="s">
        <v>10</v>
      </c>
      <c r="E594" s="1">
        <v>41944</v>
      </c>
      <c r="F594">
        <f t="shared" si="9"/>
        <v>4</v>
      </c>
      <c r="G594" t="s">
        <v>31</v>
      </c>
      <c r="H594" t="s">
        <v>19</v>
      </c>
      <c r="I594">
        <v>2207</v>
      </c>
      <c r="J594">
        <v>126240.4</v>
      </c>
    </row>
    <row r="595" spans="1:10" x14ac:dyDescent="0.3">
      <c r="A595">
        <v>594</v>
      </c>
      <c r="B595">
        <v>933924853</v>
      </c>
      <c r="C595" t="s">
        <v>24</v>
      </c>
      <c r="D595" t="s">
        <v>14</v>
      </c>
      <c r="E595" s="1">
        <v>41852</v>
      </c>
      <c r="F595">
        <f t="shared" si="9"/>
        <v>3</v>
      </c>
      <c r="G595" t="s">
        <v>18</v>
      </c>
      <c r="H595" t="s">
        <v>19</v>
      </c>
      <c r="I595">
        <v>7973</v>
      </c>
      <c r="J595">
        <v>19214.93</v>
      </c>
    </row>
    <row r="596" spans="1:10" x14ac:dyDescent="0.3">
      <c r="A596">
        <v>595</v>
      </c>
      <c r="B596">
        <v>572550618</v>
      </c>
      <c r="C596" t="s">
        <v>40</v>
      </c>
      <c r="D596" t="s">
        <v>14</v>
      </c>
      <c r="E596" s="1">
        <v>41579</v>
      </c>
      <c r="F596">
        <f t="shared" si="9"/>
        <v>4</v>
      </c>
      <c r="G596" t="s">
        <v>38</v>
      </c>
      <c r="H596" t="s">
        <v>16</v>
      </c>
      <c r="I596">
        <v>9306</v>
      </c>
      <c r="J596">
        <v>1174882.5</v>
      </c>
    </row>
    <row r="597" spans="1:10" x14ac:dyDescent="0.3">
      <c r="A597">
        <v>596</v>
      </c>
      <c r="B597">
        <v>607521903</v>
      </c>
      <c r="C597" t="s">
        <v>47</v>
      </c>
      <c r="D597" t="s">
        <v>14</v>
      </c>
      <c r="E597" s="1">
        <v>40210</v>
      </c>
      <c r="F597">
        <f t="shared" si="9"/>
        <v>1</v>
      </c>
      <c r="G597" t="s">
        <v>32</v>
      </c>
      <c r="H597" t="s">
        <v>26</v>
      </c>
      <c r="I597">
        <v>8086</v>
      </c>
      <c r="J597">
        <v>462519.2</v>
      </c>
    </row>
    <row r="598" spans="1:10" x14ac:dyDescent="0.3">
      <c r="A598">
        <v>597</v>
      </c>
      <c r="B598">
        <v>177950036</v>
      </c>
      <c r="C598" t="s">
        <v>34</v>
      </c>
      <c r="D598" t="s">
        <v>14</v>
      </c>
      <c r="E598" s="1">
        <v>42795</v>
      </c>
      <c r="F598">
        <f t="shared" si="9"/>
        <v>1</v>
      </c>
      <c r="G598" t="s">
        <v>18</v>
      </c>
      <c r="H598" t="s">
        <v>19</v>
      </c>
      <c r="I598">
        <v>8225</v>
      </c>
      <c r="J598">
        <v>453526.5</v>
      </c>
    </row>
    <row r="599" spans="1:10" x14ac:dyDescent="0.3">
      <c r="A599">
        <v>598</v>
      </c>
      <c r="B599">
        <v>293258845</v>
      </c>
      <c r="C599" t="s">
        <v>41</v>
      </c>
      <c r="D599" t="s">
        <v>10</v>
      </c>
      <c r="E599" s="1">
        <v>42309</v>
      </c>
      <c r="F599">
        <f t="shared" si="9"/>
        <v>4</v>
      </c>
      <c r="G599" t="s">
        <v>49</v>
      </c>
      <c r="H599" t="s">
        <v>19</v>
      </c>
      <c r="I599">
        <v>664</v>
      </c>
      <c r="J599">
        <v>10398.24</v>
      </c>
    </row>
    <row r="600" spans="1:10" x14ac:dyDescent="0.3">
      <c r="A600">
        <v>599</v>
      </c>
      <c r="B600">
        <v>683184659</v>
      </c>
      <c r="C600" t="s">
        <v>41</v>
      </c>
      <c r="D600" t="s">
        <v>14</v>
      </c>
      <c r="E600" s="1">
        <v>40391</v>
      </c>
      <c r="F600">
        <f t="shared" si="9"/>
        <v>3</v>
      </c>
      <c r="G600" t="s">
        <v>57</v>
      </c>
      <c r="H600" t="s">
        <v>16</v>
      </c>
      <c r="I600">
        <v>8377</v>
      </c>
      <c r="J600">
        <v>131183.82</v>
      </c>
    </row>
    <row r="601" spans="1:10" x14ac:dyDescent="0.3">
      <c r="A601">
        <v>600</v>
      </c>
      <c r="B601">
        <v>247776305</v>
      </c>
      <c r="C601" t="s">
        <v>20</v>
      </c>
      <c r="D601" t="s">
        <v>14</v>
      </c>
      <c r="E601" s="1">
        <v>40483</v>
      </c>
      <c r="F601">
        <f t="shared" si="9"/>
        <v>4</v>
      </c>
      <c r="G601" t="s">
        <v>51</v>
      </c>
      <c r="H601" t="s">
        <v>26</v>
      </c>
      <c r="I601">
        <v>1370</v>
      </c>
      <c r="J601">
        <v>121368.3</v>
      </c>
    </row>
    <row r="602" spans="1:10" x14ac:dyDescent="0.3">
      <c r="A602">
        <v>601</v>
      </c>
      <c r="B602">
        <v>207395112</v>
      </c>
      <c r="C602" t="s">
        <v>47</v>
      </c>
      <c r="D602" t="s">
        <v>10</v>
      </c>
      <c r="E602" s="1">
        <v>40878</v>
      </c>
      <c r="F602">
        <f t="shared" si="9"/>
        <v>4</v>
      </c>
      <c r="G602" t="s">
        <v>35</v>
      </c>
      <c r="H602" t="s">
        <v>19</v>
      </c>
      <c r="I602">
        <v>1677</v>
      </c>
      <c r="J602">
        <v>95924.4</v>
      </c>
    </row>
    <row r="603" spans="1:10" x14ac:dyDescent="0.3">
      <c r="A603">
        <v>602</v>
      </c>
      <c r="B603">
        <v>952714908</v>
      </c>
      <c r="C603" t="s">
        <v>13</v>
      </c>
      <c r="D603" t="s">
        <v>10</v>
      </c>
      <c r="E603" s="1">
        <v>41640</v>
      </c>
      <c r="F603">
        <f t="shared" si="9"/>
        <v>1</v>
      </c>
      <c r="G603" t="s">
        <v>46</v>
      </c>
      <c r="H603" t="s">
        <v>28</v>
      </c>
      <c r="I603">
        <v>8367</v>
      </c>
      <c r="J603">
        <v>528208.71</v>
      </c>
    </row>
    <row r="604" spans="1:10" x14ac:dyDescent="0.3">
      <c r="A604">
        <v>603</v>
      </c>
      <c r="B604">
        <v>694722020</v>
      </c>
      <c r="C604" t="s">
        <v>13</v>
      </c>
      <c r="D604" t="s">
        <v>14</v>
      </c>
      <c r="E604" s="1">
        <v>40452</v>
      </c>
      <c r="F604">
        <f t="shared" si="9"/>
        <v>4</v>
      </c>
      <c r="G604" t="s">
        <v>49</v>
      </c>
      <c r="H604" t="s">
        <v>19</v>
      </c>
      <c r="I604">
        <v>2539</v>
      </c>
      <c r="J604">
        <v>160287.07</v>
      </c>
    </row>
    <row r="605" spans="1:10" x14ac:dyDescent="0.3">
      <c r="A605">
        <v>604</v>
      </c>
      <c r="B605">
        <v>414715278</v>
      </c>
      <c r="C605" t="s">
        <v>36</v>
      </c>
      <c r="D605" t="s">
        <v>14</v>
      </c>
      <c r="E605" s="1">
        <v>42278</v>
      </c>
      <c r="F605">
        <f t="shared" si="9"/>
        <v>4</v>
      </c>
      <c r="G605" t="s">
        <v>18</v>
      </c>
      <c r="H605" t="s">
        <v>19</v>
      </c>
      <c r="I605">
        <v>2321</v>
      </c>
      <c r="J605">
        <v>384659.33</v>
      </c>
    </row>
    <row r="606" spans="1:10" x14ac:dyDescent="0.3">
      <c r="A606">
        <v>605</v>
      </c>
      <c r="B606">
        <v>714306008</v>
      </c>
      <c r="C606" t="s">
        <v>34</v>
      </c>
      <c r="D606" t="s">
        <v>10</v>
      </c>
      <c r="E606" s="1">
        <v>41456</v>
      </c>
      <c r="F606">
        <f t="shared" si="9"/>
        <v>3</v>
      </c>
      <c r="G606" t="s">
        <v>25</v>
      </c>
      <c r="H606" t="s">
        <v>26</v>
      </c>
      <c r="I606">
        <v>7876</v>
      </c>
      <c r="J606">
        <v>434282.64</v>
      </c>
    </row>
    <row r="607" spans="1:10" x14ac:dyDescent="0.3">
      <c r="A607">
        <v>606</v>
      </c>
      <c r="B607">
        <v>465418040</v>
      </c>
      <c r="C607" t="s">
        <v>34</v>
      </c>
      <c r="D607" t="s">
        <v>14</v>
      </c>
      <c r="E607" s="1">
        <v>42370</v>
      </c>
      <c r="F607">
        <f t="shared" si="9"/>
        <v>1</v>
      </c>
      <c r="G607" t="s">
        <v>50</v>
      </c>
      <c r="H607" t="s">
        <v>16</v>
      </c>
      <c r="I607">
        <v>6396</v>
      </c>
      <c r="J607">
        <v>352675.44</v>
      </c>
    </row>
    <row r="608" spans="1:10" x14ac:dyDescent="0.3">
      <c r="A608">
        <v>607</v>
      </c>
      <c r="B608">
        <v>860287702</v>
      </c>
      <c r="C608" t="s">
        <v>20</v>
      </c>
      <c r="D608" t="s">
        <v>14</v>
      </c>
      <c r="E608" s="1">
        <v>41487</v>
      </c>
      <c r="F608">
        <f t="shared" si="9"/>
        <v>3</v>
      </c>
      <c r="G608" t="s">
        <v>56</v>
      </c>
      <c r="H608" t="s">
        <v>19</v>
      </c>
      <c r="I608">
        <v>7103</v>
      </c>
      <c r="J608">
        <v>629254.77</v>
      </c>
    </row>
    <row r="609" spans="1:10" x14ac:dyDescent="0.3">
      <c r="A609">
        <v>608</v>
      </c>
      <c r="B609">
        <v>461463820</v>
      </c>
      <c r="C609" t="s">
        <v>13</v>
      </c>
      <c r="D609" t="s">
        <v>14</v>
      </c>
      <c r="E609" s="1">
        <v>42583</v>
      </c>
      <c r="F609">
        <f t="shared" si="9"/>
        <v>3</v>
      </c>
      <c r="G609" t="s">
        <v>44</v>
      </c>
      <c r="H609" t="s">
        <v>26</v>
      </c>
      <c r="I609">
        <v>6254</v>
      </c>
      <c r="J609">
        <v>394815.02</v>
      </c>
    </row>
    <row r="610" spans="1:10" x14ac:dyDescent="0.3">
      <c r="A610">
        <v>609</v>
      </c>
      <c r="B610">
        <v>151807725</v>
      </c>
      <c r="C610" t="s">
        <v>17</v>
      </c>
      <c r="D610" t="s">
        <v>10</v>
      </c>
      <c r="E610" s="1">
        <v>41518</v>
      </c>
      <c r="F610">
        <f t="shared" si="9"/>
        <v>3</v>
      </c>
      <c r="G610" t="s">
        <v>46</v>
      </c>
      <c r="H610" t="s">
        <v>28</v>
      </c>
      <c r="I610">
        <v>2134</v>
      </c>
      <c r="J610">
        <v>204565.24</v>
      </c>
    </row>
    <row r="611" spans="1:10" x14ac:dyDescent="0.3">
      <c r="A611">
        <v>610</v>
      </c>
      <c r="B611">
        <v>884493243</v>
      </c>
      <c r="C611" t="s">
        <v>47</v>
      </c>
      <c r="D611" t="s">
        <v>10</v>
      </c>
      <c r="E611" s="1">
        <v>41487</v>
      </c>
      <c r="F611">
        <f t="shared" si="9"/>
        <v>3</v>
      </c>
      <c r="G611" t="s">
        <v>25</v>
      </c>
      <c r="H611" t="s">
        <v>26</v>
      </c>
      <c r="I611">
        <v>61</v>
      </c>
      <c r="J611">
        <v>3489.2</v>
      </c>
    </row>
    <row r="612" spans="1:10" x14ac:dyDescent="0.3">
      <c r="A612">
        <v>611</v>
      </c>
      <c r="B612">
        <v>533006703</v>
      </c>
      <c r="C612" t="s">
        <v>9</v>
      </c>
      <c r="D612" t="s">
        <v>10</v>
      </c>
      <c r="E612" s="1">
        <v>40513</v>
      </c>
      <c r="F612">
        <f t="shared" si="9"/>
        <v>4</v>
      </c>
      <c r="G612" t="s">
        <v>33</v>
      </c>
      <c r="H612" t="s">
        <v>12</v>
      </c>
      <c r="I612">
        <v>7383</v>
      </c>
      <c r="J612">
        <v>1283682.21</v>
      </c>
    </row>
    <row r="613" spans="1:10" x14ac:dyDescent="0.3">
      <c r="A613">
        <v>612</v>
      </c>
      <c r="B613">
        <v>641146934</v>
      </c>
      <c r="C613" t="s">
        <v>13</v>
      </c>
      <c r="D613" t="s">
        <v>14</v>
      </c>
      <c r="E613" s="1">
        <v>41153</v>
      </c>
      <c r="F613">
        <f t="shared" si="9"/>
        <v>3</v>
      </c>
      <c r="G613" t="s">
        <v>21</v>
      </c>
      <c r="H613" t="s">
        <v>19</v>
      </c>
      <c r="I613">
        <v>8480</v>
      </c>
      <c r="J613">
        <v>535342.4</v>
      </c>
    </row>
    <row r="614" spans="1:10" x14ac:dyDescent="0.3">
      <c r="A614">
        <v>613</v>
      </c>
      <c r="B614">
        <v>573025262</v>
      </c>
      <c r="C614" t="s">
        <v>9</v>
      </c>
      <c r="D614" t="s">
        <v>10</v>
      </c>
      <c r="E614" s="1">
        <v>40817</v>
      </c>
      <c r="F614">
        <f t="shared" si="9"/>
        <v>4</v>
      </c>
      <c r="G614" t="s">
        <v>51</v>
      </c>
      <c r="H614" t="s">
        <v>26</v>
      </c>
      <c r="I614">
        <v>9764</v>
      </c>
      <c r="J614">
        <v>1697666.68</v>
      </c>
    </row>
    <row r="615" spans="1:10" x14ac:dyDescent="0.3">
      <c r="A615">
        <v>614</v>
      </c>
      <c r="B615">
        <v>663065516</v>
      </c>
      <c r="C615" t="s">
        <v>36</v>
      </c>
      <c r="D615" t="s">
        <v>10</v>
      </c>
      <c r="E615" s="1">
        <v>41487</v>
      </c>
      <c r="F615">
        <f t="shared" si="9"/>
        <v>3</v>
      </c>
      <c r="G615" t="s">
        <v>31</v>
      </c>
      <c r="H615" t="s">
        <v>19</v>
      </c>
      <c r="I615">
        <v>4676</v>
      </c>
      <c r="J615">
        <v>774953.48</v>
      </c>
    </row>
    <row r="616" spans="1:10" x14ac:dyDescent="0.3">
      <c r="A616">
        <v>615</v>
      </c>
      <c r="B616">
        <v>866004025</v>
      </c>
      <c r="C616" t="s">
        <v>41</v>
      </c>
      <c r="D616" t="s">
        <v>14</v>
      </c>
      <c r="E616" s="1">
        <v>42767</v>
      </c>
      <c r="F616">
        <f t="shared" si="9"/>
        <v>1</v>
      </c>
      <c r="G616" t="s">
        <v>31</v>
      </c>
      <c r="H616" t="s">
        <v>19</v>
      </c>
      <c r="I616">
        <v>8691</v>
      </c>
      <c r="J616">
        <v>136101.06</v>
      </c>
    </row>
    <row r="617" spans="1:10" x14ac:dyDescent="0.3">
      <c r="A617">
        <v>616</v>
      </c>
      <c r="B617">
        <v>306889617</v>
      </c>
      <c r="C617" t="s">
        <v>17</v>
      </c>
      <c r="D617" t="s">
        <v>14</v>
      </c>
      <c r="E617" s="1">
        <v>40452</v>
      </c>
      <c r="F617">
        <f t="shared" si="9"/>
        <v>4</v>
      </c>
      <c r="G617" t="s">
        <v>51</v>
      </c>
      <c r="H617" t="s">
        <v>26</v>
      </c>
      <c r="I617">
        <v>4312</v>
      </c>
      <c r="J617">
        <v>413348.32</v>
      </c>
    </row>
    <row r="618" spans="1:10" x14ac:dyDescent="0.3">
      <c r="A618">
        <v>617</v>
      </c>
      <c r="B618">
        <v>431083619</v>
      </c>
      <c r="C618" t="s">
        <v>43</v>
      </c>
      <c r="D618" t="s">
        <v>14</v>
      </c>
      <c r="E618" s="1">
        <v>41821</v>
      </c>
      <c r="F618">
        <f t="shared" si="9"/>
        <v>3</v>
      </c>
      <c r="G618" t="s">
        <v>18</v>
      </c>
      <c r="H618" t="s">
        <v>19</v>
      </c>
      <c r="I618">
        <v>6077</v>
      </c>
      <c r="J618">
        <v>152289.62</v>
      </c>
    </row>
    <row r="619" spans="1:10" x14ac:dyDescent="0.3">
      <c r="A619">
        <v>618</v>
      </c>
      <c r="B619">
        <v>954259860</v>
      </c>
      <c r="C619" t="s">
        <v>43</v>
      </c>
      <c r="D619" t="s">
        <v>14</v>
      </c>
      <c r="E619" s="1">
        <v>42125</v>
      </c>
      <c r="F619">
        <f t="shared" si="9"/>
        <v>2</v>
      </c>
      <c r="G619" t="s">
        <v>32</v>
      </c>
      <c r="H619" t="s">
        <v>26</v>
      </c>
      <c r="I619">
        <v>5553</v>
      </c>
      <c r="J619">
        <v>139158.18</v>
      </c>
    </row>
    <row r="620" spans="1:10" x14ac:dyDescent="0.3">
      <c r="A620">
        <v>619</v>
      </c>
      <c r="B620">
        <v>312404668</v>
      </c>
      <c r="C620" t="s">
        <v>43</v>
      </c>
      <c r="D620" t="s">
        <v>10</v>
      </c>
      <c r="E620" s="1">
        <v>42491</v>
      </c>
      <c r="F620">
        <f t="shared" si="9"/>
        <v>2</v>
      </c>
      <c r="G620" t="s">
        <v>51</v>
      </c>
      <c r="H620" t="s">
        <v>26</v>
      </c>
      <c r="I620">
        <v>6338</v>
      </c>
      <c r="J620">
        <v>158830.28</v>
      </c>
    </row>
    <row r="621" spans="1:10" x14ac:dyDescent="0.3">
      <c r="A621">
        <v>620</v>
      </c>
      <c r="B621">
        <v>611816871</v>
      </c>
      <c r="C621" t="s">
        <v>40</v>
      </c>
      <c r="D621" t="s">
        <v>10</v>
      </c>
      <c r="E621" s="1">
        <v>40269</v>
      </c>
      <c r="F621">
        <f t="shared" si="9"/>
        <v>2</v>
      </c>
      <c r="G621" t="s">
        <v>15</v>
      </c>
      <c r="H621" t="s">
        <v>16</v>
      </c>
      <c r="I621">
        <v>9063</v>
      </c>
      <c r="J621">
        <v>1144203.75</v>
      </c>
    </row>
    <row r="622" spans="1:10" x14ac:dyDescent="0.3">
      <c r="A622">
        <v>621</v>
      </c>
      <c r="B622">
        <v>879107797</v>
      </c>
      <c r="C622" t="s">
        <v>40</v>
      </c>
      <c r="D622" t="s">
        <v>14</v>
      </c>
      <c r="E622" s="1">
        <v>41548</v>
      </c>
      <c r="F622">
        <f t="shared" si="9"/>
        <v>4</v>
      </c>
      <c r="G622" t="s">
        <v>32</v>
      </c>
      <c r="H622" t="s">
        <v>26</v>
      </c>
      <c r="I622">
        <v>6388</v>
      </c>
      <c r="J622">
        <v>806485</v>
      </c>
    </row>
    <row r="623" spans="1:10" x14ac:dyDescent="0.3">
      <c r="A623">
        <v>622</v>
      </c>
      <c r="B623">
        <v>211201274</v>
      </c>
      <c r="C623" t="s">
        <v>13</v>
      </c>
      <c r="D623" t="s">
        <v>10</v>
      </c>
      <c r="E623" s="1">
        <v>40360</v>
      </c>
      <c r="F623">
        <f t="shared" si="9"/>
        <v>3</v>
      </c>
      <c r="G623" t="s">
        <v>57</v>
      </c>
      <c r="H623" t="s">
        <v>16</v>
      </c>
      <c r="I623">
        <v>8005</v>
      </c>
      <c r="J623">
        <v>505355.65</v>
      </c>
    </row>
    <row r="624" spans="1:10" x14ac:dyDescent="0.3">
      <c r="A624">
        <v>623</v>
      </c>
      <c r="B624">
        <v>925333631</v>
      </c>
      <c r="C624" t="s">
        <v>24</v>
      </c>
      <c r="D624" t="s">
        <v>14</v>
      </c>
      <c r="E624" s="1">
        <v>42156</v>
      </c>
      <c r="F624">
        <f t="shared" si="9"/>
        <v>2</v>
      </c>
      <c r="G624" t="s">
        <v>18</v>
      </c>
      <c r="H624" t="s">
        <v>19</v>
      </c>
      <c r="I624">
        <v>5639</v>
      </c>
      <c r="J624">
        <v>13589.99</v>
      </c>
    </row>
    <row r="625" spans="1:10" x14ac:dyDescent="0.3">
      <c r="A625">
        <v>624</v>
      </c>
      <c r="B625">
        <v>909053695</v>
      </c>
      <c r="C625" t="s">
        <v>34</v>
      </c>
      <c r="D625" t="s">
        <v>10</v>
      </c>
      <c r="E625" s="1">
        <v>40330</v>
      </c>
      <c r="F625">
        <f t="shared" si="9"/>
        <v>2</v>
      </c>
      <c r="G625" t="s">
        <v>39</v>
      </c>
      <c r="H625" t="s">
        <v>28</v>
      </c>
      <c r="I625">
        <v>8044</v>
      </c>
      <c r="J625">
        <v>443546.16</v>
      </c>
    </row>
    <row r="626" spans="1:10" x14ac:dyDescent="0.3">
      <c r="A626">
        <v>625</v>
      </c>
      <c r="B626">
        <v>370222795</v>
      </c>
      <c r="C626" t="s">
        <v>17</v>
      </c>
      <c r="D626" t="s">
        <v>14</v>
      </c>
      <c r="E626" s="1">
        <v>42491</v>
      </c>
      <c r="F626">
        <f t="shared" si="9"/>
        <v>2</v>
      </c>
      <c r="G626" t="s">
        <v>18</v>
      </c>
      <c r="H626" t="s">
        <v>19</v>
      </c>
      <c r="I626">
        <v>6007</v>
      </c>
      <c r="J626">
        <v>575831.02</v>
      </c>
    </row>
    <row r="627" spans="1:10" x14ac:dyDescent="0.3">
      <c r="A627">
        <v>626</v>
      </c>
      <c r="B627">
        <v>487014758</v>
      </c>
      <c r="C627" t="s">
        <v>9</v>
      </c>
      <c r="D627" t="s">
        <v>10</v>
      </c>
      <c r="E627" s="1">
        <v>41487</v>
      </c>
      <c r="F627">
        <f t="shared" si="9"/>
        <v>3</v>
      </c>
      <c r="G627" t="s">
        <v>56</v>
      </c>
      <c r="H627" t="s">
        <v>19</v>
      </c>
      <c r="I627">
        <v>7344</v>
      </c>
      <c r="J627">
        <v>1276901.28</v>
      </c>
    </row>
    <row r="628" spans="1:10" x14ac:dyDescent="0.3">
      <c r="A628">
        <v>627</v>
      </c>
      <c r="B628">
        <v>257915914</v>
      </c>
      <c r="C628" t="s">
        <v>13</v>
      </c>
      <c r="D628" t="s">
        <v>14</v>
      </c>
      <c r="E628" s="1">
        <v>41518</v>
      </c>
      <c r="F628">
        <f t="shared" si="9"/>
        <v>3</v>
      </c>
      <c r="G628" t="s">
        <v>53</v>
      </c>
      <c r="H628" t="s">
        <v>16</v>
      </c>
      <c r="I628">
        <v>1905</v>
      </c>
      <c r="J628">
        <v>120262.65</v>
      </c>
    </row>
    <row r="629" spans="1:10" x14ac:dyDescent="0.3">
      <c r="A629">
        <v>628</v>
      </c>
      <c r="B629">
        <v>551725089</v>
      </c>
      <c r="C629" t="s">
        <v>47</v>
      </c>
      <c r="D629" t="s">
        <v>10</v>
      </c>
      <c r="E629" s="1">
        <v>40360</v>
      </c>
      <c r="F629">
        <f t="shared" si="9"/>
        <v>3</v>
      </c>
      <c r="G629" t="s">
        <v>18</v>
      </c>
      <c r="H629" t="s">
        <v>19</v>
      </c>
      <c r="I629">
        <v>6569</v>
      </c>
      <c r="J629">
        <v>375746.8</v>
      </c>
    </row>
    <row r="630" spans="1:10" x14ac:dyDescent="0.3">
      <c r="A630">
        <v>629</v>
      </c>
      <c r="B630">
        <v>957553613</v>
      </c>
      <c r="C630" t="s">
        <v>47</v>
      </c>
      <c r="D630" t="s">
        <v>10</v>
      </c>
      <c r="E630" s="1">
        <v>41609</v>
      </c>
      <c r="F630">
        <f t="shared" si="9"/>
        <v>4</v>
      </c>
      <c r="G630" t="s">
        <v>33</v>
      </c>
      <c r="H630" t="s">
        <v>12</v>
      </c>
      <c r="I630">
        <v>248</v>
      </c>
      <c r="J630">
        <v>14185.6</v>
      </c>
    </row>
    <row r="631" spans="1:10" x14ac:dyDescent="0.3">
      <c r="A631">
        <v>630</v>
      </c>
      <c r="B631">
        <v>234825313</v>
      </c>
      <c r="C631" t="s">
        <v>40</v>
      </c>
      <c r="D631" t="s">
        <v>10</v>
      </c>
      <c r="E631" s="1">
        <v>42430</v>
      </c>
      <c r="F631">
        <f t="shared" si="9"/>
        <v>1</v>
      </c>
      <c r="G631" t="s">
        <v>58</v>
      </c>
      <c r="H631" t="s">
        <v>26</v>
      </c>
      <c r="I631">
        <v>8883</v>
      </c>
      <c r="J631">
        <v>1121478.75</v>
      </c>
    </row>
    <row r="632" spans="1:10" x14ac:dyDescent="0.3">
      <c r="A632">
        <v>631</v>
      </c>
      <c r="B632">
        <v>363276517</v>
      </c>
      <c r="C632" t="s">
        <v>34</v>
      </c>
      <c r="D632" t="s">
        <v>14</v>
      </c>
      <c r="E632" s="1">
        <v>40330</v>
      </c>
      <c r="F632">
        <f t="shared" si="9"/>
        <v>2</v>
      </c>
      <c r="G632" t="s">
        <v>39</v>
      </c>
      <c r="H632" t="s">
        <v>28</v>
      </c>
      <c r="I632">
        <v>449</v>
      </c>
      <c r="J632">
        <v>24757.86</v>
      </c>
    </row>
    <row r="633" spans="1:10" x14ac:dyDescent="0.3">
      <c r="A633">
        <v>632</v>
      </c>
      <c r="B633">
        <v>692956054</v>
      </c>
      <c r="C633" t="s">
        <v>43</v>
      </c>
      <c r="D633" t="s">
        <v>14</v>
      </c>
      <c r="E633" s="1">
        <v>42856</v>
      </c>
      <c r="F633">
        <f t="shared" si="9"/>
        <v>2</v>
      </c>
      <c r="G633" t="s">
        <v>21</v>
      </c>
      <c r="H633" t="s">
        <v>19</v>
      </c>
      <c r="I633">
        <v>9950</v>
      </c>
      <c r="J633">
        <v>249347</v>
      </c>
    </row>
    <row r="634" spans="1:10" x14ac:dyDescent="0.3">
      <c r="A634">
        <v>633</v>
      </c>
      <c r="B634">
        <v>194225251</v>
      </c>
      <c r="C634" t="s">
        <v>9</v>
      </c>
      <c r="D634" t="s">
        <v>14</v>
      </c>
      <c r="E634" s="1">
        <v>41426</v>
      </c>
      <c r="F634">
        <f t="shared" si="9"/>
        <v>2</v>
      </c>
      <c r="G634" t="s">
        <v>44</v>
      </c>
      <c r="H634" t="s">
        <v>26</v>
      </c>
      <c r="I634">
        <v>4423</v>
      </c>
      <c r="J634">
        <v>769027.01</v>
      </c>
    </row>
    <row r="635" spans="1:10" x14ac:dyDescent="0.3">
      <c r="A635">
        <v>634</v>
      </c>
      <c r="B635">
        <v>607757937</v>
      </c>
      <c r="C635" t="s">
        <v>24</v>
      </c>
      <c r="D635" t="s">
        <v>14</v>
      </c>
      <c r="E635" s="1">
        <v>40210</v>
      </c>
      <c r="F635">
        <f t="shared" si="9"/>
        <v>1</v>
      </c>
      <c r="G635" t="s">
        <v>51</v>
      </c>
      <c r="H635" t="s">
        <v>26</v>
      </c>
      <c r="I635">
        <v>7934</v>
      </c>
      <c r="J635">
        <v>19120.939999999999</v>
      </c>
    </row>
    <row r="636" spans="1:10" x14ac:dyDescent="0.3">
      <c r="A636">
        <v>635</v>
      </c>
      <c r="B636">
        <v>594540441</v>
      </c>
      <c r="C636" t="s">
        <v>20</v>
      </c>
      <c r="D636" t="s">
        <v>10</v>
      </c>
      <c r="E636" s="1">
        <v>41061</v>
      </c>
      <c r="F636">
        <f t="shared" si="9"/>
        <v>2</v>
      </c>
      <c r="G636" t="s">
        <v>50</v>
      </c>
      <c r="H636" t="s">
        <v>16</v>
      </c>
      <c r="I636">
        <v>6583</v>
      </c>
      <c r="J636">
        <v>583187.97</v>
      </c>
    </row>
    <row r="637" spans="1:10" x14ac:dyDescent="0.3">
      <c r="A637">
        <v>636</v>
      </c>
      <c r="B637">
        <v>685871589</v>
      </c>
      <c r="C637" t="s">
        <v>13</v>
      </c>
      <c r="D637" t="s">
        <v>14</v>
      </c>
      <c r="E637" s="1">
        <v>42064</v>
      </c>
      <c r="F637">
        <f t="shared" si="9"/>
        <v>1</v>
      </c>
      <c r="G637" t="s">
        <v>49</v>
      </c>
      <c r="H637" t="s">
        <v>19</v>
      </c>
      <c r="I637">
        <v>3500</v>
      </c>
      <c r="J637">
        <v>220955</v>
      </c>
    </row>
    <row r="638" spans="1:10" x14ac:dyDescent="0.3">
      <c r="A638">
        <v>637</v>
      </c>
      <c r="B638">
        <v>133362710</v>
      </c>
      <c r="C638" t="s">
        <v>20</v>
      </c>
      <c r="D638" t="s">
        <v>10</v>
      </c>
      <c r="E638" s="1">
        <v>41671</v>
      </c>
      <c r="F638">
        <f t="shared" si="9"/>
        <v>1</v>
      </c>
      <c r="G638" t="s">
        <v>46</v>
      </c>
      <c r="H638" t="s">
        <v>28</v>
      </c>
      <c r="I638">
        <v>3844</v>
      </c>
      <c r="J638">
        <v>340539.96</v>
      </c>
    </row>
    <row r="639" spans="1:10" x14ac:dyDescent="0.3">
      <c r="A639">
        <v>638</v>
      </c>
      <c r="B639">
        <v>958937633</v>
      </c>
      <c r="C639" t="s">
        <v>30</v>
      </c>
      <c r="D639" t="s">
        <v>10</v>
      </c>
      <c r="E639" s="1">
        <v>42856</v>
      </c>
      <c r="F639">
        <f t="shared" si="9"/>
        <v>2</v>
      </c>
      <c r="G639" t="s">
        <v>54</v>
      </c>
      <c r="H639" t="s">
        <v>16</v>
      </c>
      <c r="I639">
        <v>9810</v>
      </c>
      <c r="J639">
        <v>720446.4</v>
      </c>
    </row>
    <row r="640" spans="1:10" x14ac:dyDescent="0.3">
      <c r="A640">
        <v>639</v>
      </c>
      <c r="B640">
        <v>304832684</v>
      </c>
      <c r="C640" t="s">
        <v>13</v>
      </c>
      <c r="D640" t="s">
        <v>14</v>
      </c>
      <c r="E640" s="1">
        <v>40756</v>
      </c>
      <c r="F640">
        <f t="shared" si="9"/>
        <v>3</v>
      </c>
      <c r="G640" t="s">
        <v>48</v>
      </c>
      <c r="H640" t="s">
        <v>16</v>
      </c>
      <c r="I640">
        <v>5620</v>
      </c>
      <c r="J640">
        <v>354790.6</v>
      </c>
    </row>
    <row r="641" spans="1:10" x14ac:dyDescent="0.3">
      <c r="A641">
        <v>640</v>
      </c>
      <c r="B641">
        <v>783596694</v>
      </c>
      <c r="C641" t="s">
        <v>17</v>
      </c>
      <c r="D641" t="s">
        <v>10</v>
      </c>
      <c r="E641" s="1">
        <v>40483</v>
      </c>
      <c r="F641">
        <f t="shared" si="9"/>
        <v>4</v>
      </c>
      <c r="G641" t="s">
        <v>55</v>
      </c>
      <c r="H641" t="s">
        <v>26</v>
      </c>
      <c r="I641">
        <v>2530</v>
      </c>
      <c r="J641">
        <v>242525.8</v>
      </c>
    </row>
    <row r="642" spans="1:10" x14ac:dyDescent="0.3">
      <c r="A642">
        <v>641</v>
      </c>
      <c r="B642">
        <v>128090989</v>
      </c>
      <c r="C642" t="s">
        <v>36</v>
      </c>
      <c r="D642" t="s">
        <v>10</v>
      </c>
      <c r="E642" s="1">
        <v>42095</v>
      </c>
      <c r="F642">
        <f t="shared" ref="F642:F705" si="10">ROUNDUP(MONTH(E642)/3,0)</f>
        <v>2</v>
      </c>
      <c r="G642" t="s">
        <v>32</v>
      </c>
      <c r="H642" t="s">
        <v>26</v>
      </c>
      <c r="I642">
        <v>3825</v>
      </c>
      <c r="J642">
        <v>633917.25</v>
      </c>
    </row>
    <row r="643" spans="1:10" x14ac:dyDescent="0.3">
      <c r="A643">
        <v>642</v>
      </c>
      <c r="B643">
        <v>641489398</v>
      </c>
      <c r="C643" t="s">
        <v>13</v>
      </c>
      <c r="D643" t="s">
        <v>10</v>
      </c>
      <c r="E643" s="1">
        <v>41821</v>
      </c>
      <c r="F643">
        <f t="shared" si="10"/>
        <v>3</v>
      </c>
      <c r="G643" t="s">
        <v>42</v>
      </c>
      <c r="H643" t="s">
        <v>26</v>
      </c>
      <c r="I643">
        <v>9823</v>
      </c>
      <c r="J643">
        <v>620125.99</v>
      </c>
    </row>
    <row r="644" spans="1:10" x14ac:dyDescent="0.3">
      <c r="A644">
        <v>643</v>
      </c>
      <c r="B644">
        <v>647278249</v>
      </c>
      <c r="C644" t="s">
        <v>30</v>
      </c>
      <c r="D644" t="s">
        <v>10</v>
      </c>
      <c r="E644" s="1">
        <v>41852</v>
      </c>
      <c r="F644">
        <f t="shared" si="10"/>
        <v>3</v>
      </c>
      <c r="G644" t="s">
        <v>15</v>
      </c>
      <c r="H644" t="s">
        <v>16</v>
      </c>
      <c r="I644">
        <v>2873</v>
      </c>
      <c r="J644">
        <v>210993.12</v>
      </c>
    </row>
    <row r="645" spans="1:10" x14ac:dyDescent="0.3">
      <c r="A645">
        <v>644</v>
      </c>
      <c r="B645">
        <v>339256370</v>
      </c>
      <c r="C645" t="s">
        <v>30</v>
      </c>
      <c r="D645" t="s">
        <v>14</v>
      </c>
      <c r="E645" s="1">
        <v>40603</v>
      </c>
      <c r="F645">
        <f t="shared" si="10"/>
        <v>1</v>
      </c>
      <c r="G645" t="s">
        <v>58</v>
      </c>
      <c r="H645" t="s">
        <v>26</v>
      </c>
      <c r="I645">
        <v>2354</v>
      </c>
      <c r="J645">
        <v>172877.76</v>
      </c>
    </row>
    <row r="646" spans="1:10" x14ac:dyDescent="0.3">
      <c r="A646">
        <v>645</v>
      </c>
      <c r="B646">
        <v>431535089</v>
      </c>
      <c r="C646" t="s">
        <v>17</v>
      </c>
      <c r="D646" t="s">
        <v>10</v>
      </c>
      <c r="E646" s="1">
        <v>42430</v>
      </c>
      <c r="F646">
        <f t="shared" si="10"/>
        <v>1</v>
      </c>
      <c r="G646" t="s">
        <v>59</v>
      </c>
      <c r="H646" t="s">
        <v>19</v>
      </c>
      <c r="I646">
        <v>9677</v>
      </c>
      <c r="J646">
        <v>927637.22</v>
      </c>
    </row>
    <row r="647" spans="1:10" x14ac:dyDescent="0.3">
      <c r="A647">
        <v>646</v>
      </c>
      <c r="B647">
        <v>808538234</v>
      </c>
      <c r="C647" t="s">
        <v>20</v>
      </c>
      <c r="D647" t="s">
        <v>10</v>
      </c>
      <c r="E647" s="1">
        <v>42339</v>
      </c>
      <c r="F647">
        <f t="shared" si="10"/>
        <v>4</v>
      </c>
      <c r="G647" t="s">
        <v>56</v>
      </c>
      <c r="H647" t="s">
        <v>19</v>
      </c>
      <c r="I647">
        <v>3286</v>
      </c>
      <c r="J647">
        <v>291106.74</v>
      </c>
    </row>
    <row r="648" spans="1:10" x14ac:dyDescent="0.3">
      <c r="A648">
        <v>647</v>
      </c>
      <c r="B648">
        <v>975002133</v>
      </c>
      <c r="C648" t="s">
        <v>43</v>
      </c>
      <c r="D648" t="s">
        <v>14</v>
      </c>
      <c r="E648" s="1">
        <v>41334</v>
      </c>
      <c r="F648">
        <f t="shared" si="10"/>
        <v>1</v>
      </c>
      <c r="G648" t="s">
        <v>56</v>
      </c>
      <c r="H648" t="s">
        <v>19</v>
      </c>
      <c r="I648">
        <v>3653</v>
      </c>
      <c r="J648">
        <v>91544.18</v>
      </c>
    </row>
    <row r="649" spans="1:10" x14ac:dyDescent="0.3">
      <c r="A649">
        <v>648</v>
      </c>
      <c r="B649">
        <v>505975615</v>
      </c>
      <c r="C649" t="s">
        <v>34</v>
      </c>
      <c r="D649" t="s">
        <v>14</v>
      </c>
      <c r="E649" s="1">
        <v>42156</v>
      </c>
      <c r="F649">
        <f t="shared" si="10"/>
        <v>2</v>
      </c>
      <c r="G649" t="s">
        <v>42</v>
      </c>
      <c r="H649" t="s">
        <v>26</v>
      </c>
      <c r="I649">
        <v>8283</v>
      </c>
      <c r="J649">
        <v>456724.62</v>
      </c>
    </row>
    <row r="650" spans="1:10" x14ac:dyDescent="0.3">
      <c r="A650">
        <v>649</v>
      </c>
      <c r="B650">
        <v>396820008</v>
      </c>
      <c r="C650" t="s">
        <v>13</v>
      </c>
      <c r="D650" t="s">
        <v>10</v>
      </c>
      <c r="E650" s="1">
        <v>42401</v>
      </c>
      <c r="F650">
        <f t="shared" si="10"/>
        <v>1</v>
      </c>
      <c r="G650" t="s">
        <v>15</v>
      </c>
      <c r="H650" t="s">
        <v>16</v>
      </c>
      <c r="I650">
        <v>6714</v>
      </c>
      <c r="J650">
        <v>423854.82</v>
      </c>
    </row>
    <row r="651" spans="1:10" x14ac:dyDescent="0.3">
      <c r="A651">
        <v>650</v>
      </c>
      <c r="B651">
        <v>813209140</v>
      </c>
      <c r="C651" t="s">
        <v>13</v>
      </c>
      <c r="D651" t="s">
        <v>14</v>
      </c>
      <c r="E651" s="1">
        <v>41426</v>
      </c>
      <c r="F651">
        <f t="shared" si="10"/>
        <v>2</v>
      </c>
      <c r="G651" t="s">
        <v>31</v>
      </c>
      <c r="H651" t="s">
        <v>19</v>
      </c>
      <c r="I651">
        <v>5511</v>
      </c>
      <c r="J651">
        <v>347909.43</v>
      </c>
    </row>
    <row r="652" spans="1:10" x14ac:dyDescent="0.3">
      <c r="A652">
        <v>651</v>
      </c>
      <c r="B652">
        <v>641129338</v>
      </c>
      <c r="C652" t="s">
        <v>17</v>
      </c>
      <c r="D652" t="s">
        <v>14</v>
      </c>
      <c r="E652" s="1">
        <v>41760</v>
      </c>
      <c r="F652">
        <f t="shared" si="10"/>
        <v>2</v>
      </c>
      <c r="G652" t="s">
        <v>54</v>
      </c>
      <c r="H652" t="s">
        <v>16</v>
      </c>
      <c r="I652">
        <v>3273</v>
      </c>
      <c r="J652">
        <v>313749.78000000003</v>
      </c>
    </row>
    <row r="653" spans="1:10" x14ac:dyDescent="0.3">
      <c r="A653">
        <v>652</v>
      </c>
      <c r="B653">
        <v>636879432</v>
      </c>
      <c r="C653" t="s">
        <v>47</v>
      </c>
      <c r="D653" t="s">
        <v>10</v>
      </c>
      <c r="E653" s="1">
        <v>42156</v>
      </c>
      <c r="F653">
        <f t="shared" si="10"/>
        <v>2</v>
      </c>
      <c r="G653" t="s">
        <v>21</v>
      </c>
      <c r="H653" t="s">
        <v>19</v>
      </c>
      <c r="I653">
        <v>5632</v>
      </c>
      <c r="J653">
        <v>322150.40000000002</v>
      </c>
    </row>
    <row r="654" spans="1:10" x14ac:dyDescent="0.3">
      <c r="A654">
        <v>653</v>
      </c>
      <c r="B654">
        <v>277070748</v>
      </c>
      <c r="C654" t="s">
        <v>34</v>
      </c>
      <c r="D654" t="s">
        <v>14</v>
      </c>
      <c r="E654" s="1">
        <v>41791</v>
      </c>
      <c r="F654">
        <f t="shared" si="10"/>
        <v>2</v>
      </c>
      <c r="G654" t="s">
        <v>25</v>
      </c>
      <c r="H654" t="s">
        <v>26</v>
      </c>
      <c r="I654">
        <v>246</v>
      </c>
      <c r="J654">
        <v>13564.44</v>
      </c>
    </row>
    <row r="655" spans="1:10" x14ac:dyDescent="0.3">
      <c r="A655">
        <v>654</v>
      </c>
      <c r="B655">
        <v>908627116</v>
      </c>
      <c r="C655" t="s">
        <v>9</v>
      </c>
      <c r="D655" t="s">
        <v>10</v>
      </c>
      <c r="E655" s="1">
        <v>41579</v>
      </c>
      <c r="F655">
        <f t="shared" si="10"/>
        <v>4</v>
      </c>
      <c r="G655" t="s">
        <v>27</v>
      </c>
      <c r="H655" t="s">
        <v>28</v>
      </c>
      <c r="I655">
        <v>1810</v>
      </c>
      <c r="J655">
        <v>314704.7</v>
      </c>
    </row>
    <row r="656" spans="1:10" x14ac:dyDescent="0.3">
      <c r="A656">
        <v>655</v>
      </c>
      <c r="B656">
        <v>798784863</v>
      </c>
      <c r="C656" t="s">
        <v>9</v>
      </c>
      <c r="D656" t="s">
        <v>10</v>
      </c>
      <c r="E656" s="1">
        <v>42826</v>
      </c>
      <c r="F656">
        <f t="shared" si="10"/>
        <v>2</v>
      </c>
      <c r="G656" t="s">
        <v>45</v>
      </c>
      <c r="H656" t="s">
        <v>12</v>
      </c>
      <c r="I656">
        <v>7047</v>
      </c>
      <c r="J656">
        <v>1225261.8899999999</v>
      </c>
    </row>
    <row r="657" spans="1:10" x14ac:dyDescent="0.3">
      <c r="A657">
        <v>656</v>
      </c>
      <c r="B657">
        <v>985092818</v>
      </c>
      <c r="C657" t="s">
        <v>41</v>
      </c>
      <c r="D657" t="s">
        <v>10</v>
      </c>
      <c r="E657" s="1">
        <v>40299</v>
      </c>
      <c r="F657">
        <f t="shared" si="10"/>
        <v>2</v>
      </c>
      <c r="G657" t="s">
        <v>54</v>
      </c>
      <c r="H657" t="s">
        <v>16</v>
      </c>
      <c r="I657">
        <v>9711</v>
      </c>
      <c r="J657">
        <v>152074.26</v>
      </c>
    </row>
    <row r="658" spans="1:10" x14ac:dyDescent="0.3">
      <c r="A658">
        <v>657</v>
      </c>
      <c r="B658">
        <v>325412309</v>
      </c>
      <c r="C658" t="s">
        <v>34</v>
      </c>
      <c r="D658" t="s">
        <v>10</v>
      </c>
      <c r="E658" s="1">
        <v>40299</v>
      </c>
      <c r="F658">
        <f t="shared" si="10"/>
        <v>2</v>
      </c>
      <c r="G658" t="s">
        <v>55</v>
      </c>
      <c r="H658" t="s">
        <v>26</v>
      </c>
      <c r="I658">
        <v>5588</v>
      </c>
      <c r="J658">
        <v>308122.32</v>
      </c>
    </row>
    <row r="659" spans="1:10" x14ac:dyDescent="0.3">
      <c r="A659">
        <v>658</v>
      </c>
      <c r="B659">
        <v>447917163</v>
      </c>
      <c r="C659" t="s">
        <v>41</v>
      </c>
      <c r="D659" t="s">
        <v>14</v>
      </c>
      <c r="E659" s="1">
        <v>42522</v>
      </c>
      <c r="F659">
        <f t="shared" si="10"/>
        <v>2</v>
      </c>
      <c r="G659" t="s">
        <v>49</v>
      </c>
      <c r="H659" t="s">
        <v>19</v>
      </c>
      <c r="I659">
        <v>7497</v>
      </c>
      <c r="J659">
        <v>117403.02</v>
      </c>
    </row>
    <row r="660" spans="1:10" x14ac:dyDescent="0.3">
      <c r="A660">
        <v>659</v>
      </c>
      <c r="B660">
        <v>801093709</v>
      </c>
      <c r="C660" t="s">
        <v>47</v>
      </c>
      <c r="D660" t="s">
        <v>10</v>
      </c>
      <c r="E660" s="1">
        <v>41487</v>
      </c>
      <c r="F660">
        <f t="shared" si="10"/>
        <v>3</v>
      </c>
      <c r="G660" t="s">
        <v>59</v>
      </c>
      <c r="H660" t="s">
        <v>19</v>
      </c>
      <c r="I660">
        <v>285</v>
      </c>
      <c r="J660">
        <v>16302</v>
      </c>
    </row>
    <row r="661" spans="1:10" x14ac:dyDescent="0.3">
      <c r="A661">
        <v>660</v>
      </c>
      <c r="B661">
        <v>903740775</v>
      </c>
      <c r="C661" t="s">
        <v>24</v>
      </c>
      <c r="D661" t="s">
        <v>10</v>
      </c>
      <c r="E661" s="1">
        <v>41913</v>
      </c>
      <c r="F661">
        <f t="shared" si="10"/>
        <v>4</v>
      </c>
      <c r="G661" t="s">
        <v>27</v>
      </c>
      <c r="H661" t="s">
        <v>28</v>
      </c>
      <c r="I661">
        <v>5833</v>
      </c>
      <c r="J661">
        <v>14057.53</v>
      </c>
    </row>
    <row r="662" spans="1:10" x14ac:dyDescent="0.3">
      <c r="A662">
        <v>661</v>
      </c>
      <c r="B662">
        <v>794969689</v>
      </c>
      <c r="C662" t="s">
        <v>47</v>
      </c>
      <c r="D662" t="s">
        <v>10</v>
      </c>
      <c r="E662" s="1">
        <v>40452</v>
      </c>
      <c r="F662">
        <f t="shared" si="10"/>
        <v>4</v>
      </c>
      <c r="G662" t="s">
        <v>38</v>
      </c>
      <c r="H662" t="s">
        <v>16</v>
      </c>
      <c r="I662">
        <v>8052</v>
      </c>
      <c r="J662">
        <v>460574.4</v>
      </c>
    </row>
    <row r="663" spans="1:10" x14ac:dyDescent="0.3">
      <c r="A663">
        <v>662</v>
      </c>
      <c r="B663">
        <v>584204280</v>
      </c>
      <c r="C663" t="s">
        <v>30</v>
      </c>
      <c r="D663" t="s">
        <v>14</v>
      </c>
      <c r="E663" s="1">
        <v>41214</v>
      </c>
      <c r="F663">
        <f t="shared" si="10"/>
        <v>4</v>
      </c>
      <c r="G663" t="s">
        <v>50</v>
      </c>
      <c r="H663" t="s">
        <v>16</v>
      </c>
      <c r="I663">
        <v>7884</v>
      </c>
      <c r="J663">
        <v>579000.96</v>
      </c>
    </row>
    <row r="664" spans="1:10" x14ac:dyDescent="0.3">
      <c r="A664">
        <v>663</v>
      </c>
      <c r="B664">
        <v>901180875</v>
      </c>
      <c r="C664" t="s">
        <v>20</v>
      </c>
      <c r="D664" t="s">
        <v>10</v>
      </c>
      <c r="E664" s="1">
        <v>40299</v>
      </c>
      <c r="F664">
        <f t="shared" si="10"/>
        <v>2</v>
      </c>
      <c r="G664" t="s">
        <v>56</v>
      </c>
      <c r="H664" t="s">
        <v>19</v>
      </c>
      <c r="I664">
        <v>8302</v>
      </c>
      <c r="J664">
        <v>735474.18</v>
      </c>
    </row>
    <row r="665" spans="1:10" x14ac:dyDescent="0.3">
      <c r="A665">
        <v>664</v>
      </c>
      <c r="B665">
        <v>645948302</v>
      </c>
      <c r="C665" t="s">
        <v>34</v>
      </c>
      <c r="D665" t="s">
        <v>10</v>
      </c>
      <c r="E665" s="1">
        <v>41122</v>
      </c>
      <c r="F665">
        <f t="shared" si="10"/>
        <v>3</v>
      </c>
      <c r="G665" t="s">
        <v>51</v>
      </c>
      <c r="H665" t="s">
        <v>26</v>
      </c>
      <c r="I665">
        <v>9312</v>
      </c>
      <c r="J665">
        <v>513463.68</v>
      </c>
    </row>
    <row r="666" spans="1:10" x14ac:dyDescent="0.3">
      <c r="A666">
        <v>665</v>
      </c>
      <c r="B666">
        <v>138867890</v>
      </c>
      <c r="C666" t="s">
        <v>20</v>
      </c>
      <c r="D666" t="s">
        <v>14</v>
      </c>
      <c r="E666" s="1">
        <v>42005</v>
      </c>
      <c r="F666">
        <f t="shared" si="10"/>
        <v>1</v>
      </c>
      <c r="G666" t="s">
        <v>35</v>
      </c>
      <c r="H666" t="s">
        <v>19</v>
      </c>
      <c r="I666">
        <v>2950</v>
      </c>
      <c r="J666">
        <v>261340.5</v>
      </c>
    </row>
    <row r="667" spans="1:10" x14ac:dyDescent="0.3">
      <c r="A667">
        <v>666</v>
      </c>
      <c r="B667">
        <v>670613467</v>
      </c>
      <c r="C667" t="s">
        <v>41</v>
      </c>
      <c r="D667" t="s">
        <v>10</v>
      </c>
      <c r="E667" s="1">
        <v>40238</v>
      </c>
      <c r="F667">
        <f t="shared" si="10"/>
        <v>1</v>
      </c>
      <c r="G667" t="s">
        <v>25</v>
      </c>
      <c r="H667" t="s">
        <v>26</v>
      </c>
      <c r="I667">
        <v>8282</v>
      </c>
      <c r="J667">
        <v>129696.12</v>
      </c>
    </row>
    <row r="668" spans="1:10" x14ac:dyDescent="0.3">
      <c r="A668">
        <v>667</v>
      </c>
      <c r="B668">
        <v>452171361</v>
      </c>
      <c r="C668" t="s">
        <v>9</v>
      </c>
      <c r="D668" t="s">
        <v>10</v>
      </c>
      <c r="E668" s="1">
        <v>41760</v>
      </c>
      <c r="F668">
        <f t="shared" si="10"/>
        <v>2</v>
      </c>
      <c r="G668" t="s">
        <v>25</v>
      </c>
      <c r="H668" t="s">
        <v>26</v>
      </c>
      <c r="I668">
        <v>6409</v>
      </c>
      <c r="J668">
        <v>1114332.83</v>
      </c>
    </row>
    <row r="669" spans="1:10" x14ac:dyDescent="0.3">
      <c r="A669">
        <v>668</v>
      </c>
      <c r="B669">
        <v>464840400</v>
      </c>
      <c r="C669" t="s">
        <v>34</v>
      </c>
      <c r="D669" t="s">
        <v>14</v>
      </c>
      <c r="E669" s="1">
        <v>40513</v>
      </c>
      <c r="F669">
        <f t="shared" si="10"/>
        <v>4</v>
      </c>
      <c r="G669" t="s">
        <v>25</v>
      </c>
      <c r="H669" t="s">
        <v>26</v>
      </c>
      <c r="I669">
        <v>5459</v>
      </c>
      <c r="J669">
        <v>301009.26</v>
      </c>
    </row>
    <row r="670" spans="1:10" x14ac:dyDescent="0.3">
      <c r="A670">
        <v>669</v>
      </c>
      <c r="B670">
        <v>410231912</v>
      </c>
      <c r="C670" t="s">
        <v>36</v>
      </c>
      <c r="D670" t="s">
        <v>14</v>
      </c>
      <c r="E670" s="1">
        <v>41913</v>
      </c>
      <c r="F670">
        <f t="shared" si="10"/>
        <v>4</v>
      </c>
      <c r="G670" t="s">
        <v>44</v>
      </c>
      <c r="H670" t="s">
        <v>26</v>
      </c>
      <c r="I670">
        <v>5594</v>
      </c>
      <c r="J670">
        <v>927093.62</v>
      </c>
    </row>
    <row r="671" spans="1:10" x14ac:dyDescent="0.3">
      <c r="A671">
        <v>670</v>
      </c>
      <c r="B671">
        <v>960269725</v>
      </c>
      <c r="C671" t="s">
        <v>47</v>
      </c>
      <c r="D671" t="s">
        <v>10</v>
      </c>
      <c r="E671" s="1">
        <v>42005</v>
      </c>
      <c r="F671">
        <f t="shared" si="10"/>
        <v>1</v>
      </c>
      <c r="G671" t="s">
        <v>31</v>
      </c>
      <c r="H671" t="s">
        <v>19</v>
      </c>
      <c r="I671">
        <v>4006</v>
      </c>
      <c r="J671">
        <v>229143.2</v>
      </c>
    </row>
    <row r="672" spans="1:10" x14ac:dyDescent="0.3">
      <c r="A672">
        <v>671</v>
      </c>
      <c r="B672">
        <v>607190167</v>
      </c>
      <c r="C672" t="s">
        <v>41</v>
      </c>
      <c r="D672" t="s">
        <v>10</v>
      </c>
      <c r="E672" s="1">
        <v>42826</v>
      </c>
      <c r="F672">
        <f t="shared" si="10"/>
        <v>2</v>
      </c>
      <c r="G672" t="s">
        <v>50</v>
      </c>
      <c r="H672" t="s">
        <v>16</v>
      </c>
      <c r="I672">
        <v>9919</v>
      </c>
      <c r="J672">
        <v>155331.54</v>
      </c>
    </row>
    <row r="673" spans="1:10" x14ac:dyDescent="0.3">
      <c r="A673">
        <v>672</v>
      </c>
      <c r="B673">
        <v>613542068</v>
      </c>
      <c r="C673" t="s">
        <v>47</v>
      </c>
      <c r="D673" t="s">
        <v>10</v>
      </c>
      <c r="E673" s="1">
        <v>42583</v>
      </c>
      <c r="F673">
        <f t="shared" si="10"/>
        <v>3</v>
      </c>
      <c r="G673" t="s">
        <v>46</v>
      </c>
      <c r="H673" t="s">
        <v>28</v>
      </c>
      <c r="I673">
        <v>9587</v>
      </c>
      <c r="J673">
        <v>548376.4</v>
      </c>
    </row>
    <row r="674" spans="1:10" x14ac:dyDescent="0.3">
      <c r="A674">
        <v>673</v>
      </c>
      <c r="B674">
        <v>962186753</v>
      </c>
      <c r="C674" t="s">
        <v>36</v>
      </c>
      <c r="D674" t="s">
        <v>10</v>
      </c>
      <c r="E674" s="1">
        <v>42675</v>
      </c>
      <c r="F674">
        <f t="shared" si="10"/>
        <v>4</v>
      </c>
      <c r="G674" t="s">
        <v>49</v>
      </c>
      <c r="H674" t="s">
        <v>19</v>
      </c>
      <c r="I674">
        <v>1297</v>
      </c>
      <c r="J674">
        <v>214951.81</v>
      </c>
    </row>
    <row r="675" spans="1:10" x14ac:dyDescent="0.3">
      <c r="A675">
        <v>674</v>
      </c>
      <c r="B675">
        <v>806298053</v>
      </c>
      <c r="C675" t="s">
        <v>41</v>
      </c>
      <c r="D675" t="s">
        <v>14</v>
      </c>
      <c r="E675" s="1">
        <v>40787</v>
      </c>
      <c r="F675">
        <f t="shared" si="10"/>
        <v>3</v>
      </c>
      <c r="G675" t="s">
        <v>45</v>
      </c>
      <c r="H675" t="s">
        <v>12</v>
      </c>
      <c r="I675">
        <v>366</v>
      </c>
      <c r="J675">
        <v>5731.56</v>
      </c>
    </row>
    <row r="676" spans="1:10" x14ac:dyDescent="0.3">
      <c r="A676">
        <v>675</v>
      </c>
      <c r="B676">
        <v>719362294</v>
      </c>
      <c r="C676" t="s">
        <v>43</v>
      </c>
      <c r="D676" t="s">
        <v>14</v>
      </c>
      <c r="E676" s="1">
        <v>40452</v>
      </c>
      <c r="F676">
        <f t="shared" si="10"/>
        <v>4</v>
      </c>
      <c r="G676" t="s">
        <v>50</v>
      </c>
      <c r="H676" t="s">
        <v>16</v>
      </c>
      <c r="I676">
        <v>4144</v>
      </c>
      <c r="J676">
        <v>103848.64</v>
      </c>
    </row>
    <row r="677" spans="1:10" x14ac:dyDescent="0.3">
      <c r="A677">
        <v>676</v>
      </c>
      <c r="B677">
        <v>445178306</v>
      </c>
      <c r="C677" t="s">
        <v>17</v>
      </c>
      <c r="D677" t="s">
        <v>14</v>
      </c>
      <c r="E677" s="1">
        <v>41487</v>
      </c>
      <c r="F677">
        <f t="shared" si="10"/>
        <v>3</v>
      </c>
      <c r="G677" t="s">
        <v>58</v>
      </c>
      <c r="H677" t="s">
        <v>26</v>
      </c>
      <c r="I677">
        <v>7008</v>
      </c>
      <c r="J677">
        <v>671786.88</v>
      </c>
    </row>
    <row r="678" spans="1:10" x14ac:dyDescent="0.3">
      <c r="A678">
        <v>677</v>
      </c>
      <c r="B678">
        <v>247857415</v>
      </c>
      <c r="C678" t="s">
        <v>9</v>
      </c>
      <c r="D678" t="s">
        <v>10</v>
      </c>
      <c r="E678" s="1">
        <v>41306</v>
      </c>
      <c r="F678">
        <f t="shared" si="10"/>
        <v>1</v>
      </c>
      <c r="G678" t="s">
        <v>46</v>
      </c>
      <c r="H678" t="s">
        <v>28</v>
      </c>
      <c r="I678">
        <v>5372</v>
      </c>
      <c r="J678">
        <v>934029.64</v>
      </c>
    </row>
    <row r="679" spans="1:10" x14ac:dyDescent="0.3">
      <c r="A679">
        <v>678</v>
      </c>
      <c r="B679">
        <v>461823451</v>
      </c>
      <c r="C679" t="s">
        <v>13</v>
      </c>
      <c r="D679" t="s">
        <v>10</v>
      </c>
      <c r="E679" s="1">
        <v>41852</v>
      </c>
      <c r="F679">
        <f t="shared" si="10"/>
        <v>3</v>
      </c>
      <c r="G679" t="s">
        <v>49</v>
      </c>
      <c r="H679" t="s">
        <v>19</v>
      </c>
      <c r="I679">
        <v>2677</v>
      </c>
      <c r="J679">
        <v>168999.01</v>
      </c>
    </row>
    <row r="680" spans="1:10" x14ac:dyDescent="0.3">
      <c r="A680">
        <v>679</v>
      </c>
      <c r="B680">
        <v>141812741</v>
      </c>
      <c r="C680" t="s">
        <v>40</v>
      </c>
      <c r="D680" t="s">
        <v>10</v>
      </c>
      <c r="E680" s="1">
        <v>42736</v>
      </c>
      <c r="F680">
        <f t="shared" si="10"/>
        <v>1</v>
      </c>
      <c r="G680" t="s">
        <v>59</v>
      </c>
      <c r="H680" t="s">
        <v>19</v>
      </c>
      <c r="I680">
        <v>4396</v>
      </c>
      <c r="J680">
        <v>554995</v>
      </c>
    </row>
    <row r="681" spans="1:10" x14ac:dyDescent="0.3">
      <c r="A681">
        <v>680</v>
      </c>
      <c r="B681">
        <v>212874114</v>
      </c>
      <c r="C681" t="s">
        <v>47</v>
      </c>
      <c r="D681" t="s">
        <v>14</v>
      </c>
      <c r="E681" s="1">
        <v>42552</v>
      </c>
      <c r="F681">
        <f t="shared" si="10"/>
        <v>3</v>
      </c>
      <c r="G681" t="s">
        <v>50</v>
      </c>
      <c r="H681" t="s">
        <v>16</v>
      </c>
      <c r="I681">
        <v>3036</v>
      </c>
      <c r="J681">
        <v>173659.2</v>
      </c>
    </row>
    <row r="682" spans="1:10" x14ac:dyDescent="0.3">
      <c r="A682">
        <v>681</v>
      </c>
      <c r="B682">
        <v>320368897</v>
      </c>
      <c r="C682" t="s">
        <v>40</v>
      </c>
      <c r="D682" t="s">
        <v>10</v>
      </c>
      <c r="E682" s="1">
        <v>40238</v>
      </c>
      <c r="F682">
        <f t="shared" si="10"/>
        <v>1</v>
      </c>
      <c r="G682" t="s">
        <v>35</v>
      </c>
      <c r="H682" t="s">
        <v>19</v>
      </c>
      <c r="I682">
        <v>3131</v>
      </c>
      <c r="J682">
        <v>395288.75</v>
      </c>
    </row>
    <row r="683" spans="1:10" x14ac:dyDescent="0.3">
      <c r="A683">
        <v>682</v>
      </c>
      <c r="B683">
        <v>179970920</v>
      </c>
      <c r="C683" t="s">
        <v>41</v>
      </c>
      <c r="D683" t="s">
        <v>14</v>
      </c>
      <c r="E683" s="1">
        <v>42156</v>
      </c>
      <c r="F683">
        <f t="shared" si="10"/>
        <v>2</v>
      </c>
      <c r="G683" t="s">
        <v>55</v>
      </c>
      <c r="H683" t="s">
        <v>26</v>
      </c>
      <c r="I683">
        <v>6249</v>
      </c>
      <c r="J683">
        <v>97859.34</v>
      </c>
    </row>
    <row r="684" spans="1:10" x14ac:dyDescent="0.3">
      <c r="A684">
        <v>683</v>
      </c>
      <c r="B684">
        <v>927666509</v>
      </c>
      <c r="C684" t="s">
        <v>36</v>
      </c>
      <c r="D684" t="s">
        <v>14</v>
      </c>
      <c r="E684" s="1">
        <v>41061</v>
      </c>
      <c r="F684">
        <f t="shared" si="10"/>
        <v>2</v>
      </c>
      <c r="G684" t="s">
        <v>39</v>
      </c>
      <c r="H684" t="s">
        <v>28</v>
      </c>
      <c r="I684">
        <v>5990</v>
      </c>
      <c r="J684">
        <v>992722.7</v>
      </c>
    </row>
    <row r="685" spans="1:10" x14ac:dyDescent="0.3">
      <c r="A685">
        <v>684</v>
      </c>
      <c r="B685">
        <v>169754493</v>
      </c>
      <c r="C685" t="s">
        <v>40</v>
      </c>
      <c r="D685" t="s">
        <v>14</v>
      </c>
      <c r="E685" s="1">
        <v>42705</v>
      </c>
      <c r="F685">
        <f t="shared" si="10"/>
        <v>4</v>
      </c>
      <c r="G685" t="s">
        <v>39</v>
      </c>
      <c r="H685" t="s">
        <v>28</v>
      </c>
      <c r="I685">
        <v>2982</v>
      </c>
      <c r="J685">
        <v>376477.5</v>
      </c>
    </row>
    <row r="686" spans="1:10" x14ac:dyDescent="0.3">
      <c r="A686">
        <v>685</v>
      </c>
      <c r="B686">
        <v>532846200</v>
      </c>
      <c r="C686" t="s">
        <v>43</v>
      </c>
      <c r="D686" t="s">
        <v>10</v>
      </c>
      <c r="E686" s="1">
        <v>42064</v>
      </c>
      <c r="F686">
        <f t="shared" si="10"/>
        <v>1</v>
      </c>
      <c r="G686" t="s">
        <v>39</v>
      </c>
      <c r="H686" t="s">
        <v>28</v>
      </c>
      <c r="I686">
        <v>9886</v>
      </c>
      <c r="J686">
        <v>247743.16</v>
      </c>
    </row>
    <row r="687" spans="1:10" x14ac:dyDescent="0.3">
      <c r="A687">
        <v>686</v>
      </c>
      <c r="B687">
        <v>213865458</v>
      </c>
      <c r="C687" t="s">
        <v>34</v>
      </c>
      <c r="D687" t="s">
        <v>14</v>
      </c>
      <c r="E687" s="1">
        <v>41426</v>
      </c>
      <c r="F687">
        <f t="shared" si="10"/>
        <v>2</v>
      </c>
      <c r="G687" t="s">
        <v>53</v>
      </c>
      <c r="H687" t="s">
        <v>16</v>
      </c>
      <c r="I687">
        <v>6397</v>
      </c>
      <c r="J687">
        <v>352730.58</v>
      </c>
    </row>
    <row r="688" spans="1:10" x14ac:dyDescent="0.3">
      <c r="A688">
        <v>687</v>
      </c>
      <c r="B688">
        <v>630048596</v>
      </c>
      <c r="C688" t="s">
        <v>40</v>
      </c>
      <c r="D688" t="s">
        <v>14</v>
      </c>
      <c r="E688" s="1">
        <v>40756</v>
      </c>
      <c r="F688">
        <f t="shared" si="10"/>
        <v>3</v>
      </c>
      <c r="G688" t="s">
        <v>49</v>
      </c>
      <c r="H688" t="s">
        <v>19</v>
      </c>
      <c r="I688">
        <v>4236</v>
      </c>
      <c r="J688">
        <v>534795</v>
      </c>
    </row>
    <row r="689" spans="1:10" x14ac:dyDescent="0.3">
      <c r="A689">
        <v>688</v>
      </c>
      <c r="B689">
        <v>568944442</v>
      </c>
      <c r="C689" t="s">
        <v>30</v>
      </c>
      <c r="D689" t="s">
        <v>10</v>
      </c>
      <c r="E689" s="1">
        <v>41730</v>
      </c>
      <c r="F689">
        <f t="shared" si="10"/>
        <v>2</v>
      </c>
      <c r="G689" t="s">
        <v>39</v>
      </c>
      <c r="H689" t="s">
        <v>28</v>
      </c>
      <c r="I689">
        <v>2158</v>
      </c>
      <c r="J689">
        <v>158483.51999999999</v>
      </c>
    </row>
    <row r="690" spans="1:10" x14ac:dyDescent="0.3">
      <c r="A690">
        <v>689</v>
      </c>
      <c r="B690">
        <v>238414323</v>
      </c>
      <c r="C690" t="s">
        <v>17</v>
      </c>
      <c r="D690" t="s">
        <v>14</v>
      </c>
      <c r="E690" s="1">
        <v>40940</v>
      </c>
      <c r="F690">
        <f t="shared" si="10"/>
        <v>1</v>
      </c>
      <c r="G690" t="s">
        <v>56</v>
      </c>
      <c r="H690" t="s">
        <v>19</v>
      </c>
      <c r="I690">
        <v>951</v>
      </c>
      <c r="J690">
        <v>91162.86</v>
      </c>
    </row>
    <row r="691" spans="1:10" x14ac:dyDescent="0.3">
      <c r="A691">
        <v>690</v>
      </c>
      <c r="B691">
        <v>816632068</v>
      </c>
      <c r="C691" t="s">
        <v>40</v>
      </c>
      <c r="D691" t="s">
        <v>14</v>
      </c>
      <c r="E691" s="1">
        <v>42217</v>
      </c>
      <c r="F691">
        <f t="shared" si="10"/>
        <v>3</v>
      </c>
      <c r="G691" t="s">
        <v>27</v>
      </c>
      <c r="H691" t="s">
        <v>28</v>
      </c>
      <c r="I691">
        <v>8431</v>
      </c>
      <c r="J691">
        <v>1064413.75</v>
      </c>
    </row>
    <row r="692" spans="1:10" x14ac:dyDescent="0.3">
      <c r="A692">
        <v>691</v>
      </c>
      <c r="B692">
        <v>402084004</v>
      </c>
      <c r="C692" t="s">
        <v>17</v>
      </c>
      <c r="D692" t="s">
        <v>14</v>
      </c>
      <c r="E692" s="1">
        <v>41518</v>
      </c>
      <c r="F692">
        <f t="shared" si="10"/>
        <v>3</v>
      </c>
      <c r="G692" t="s">
        <v>45</v>
      </c>
      <c r="H692" t="s">
        <v>12</v>
      </c>
      <c r="I692">
        <v>4447</v>
      </c>
      <c r="J692">
        <v>426289.42</v>
      </c>
    </row>
    <row r="693" spans="1:10" x14ac:dyDescent="0.3">
      <c r="A693">
        <v>692</v>
      </c>
      <c r="B693">
        <v>763568961</v>
      </c>
      <c r="C693" t="s">
        <v>34</v>
      </c>
      <c r="D693" t="s">
        <v>14</v>
      </c>
      <c r="E693" s="1">
        <v>42125</v>
      </c>
      <c r="F693">
        <f t="shared" si="10"/>
        <v>2</v>
      </c>
      <c r="G693" t="s">
        <v>56</v>
      </c>
      <c r="H693" t="s">
        <v>19</v>
      </c>
      <c r="I693">
        <v>5879</v>
      </c>
      <c r="J693">
        <v>324168.06</v>
      </c>
    </row>
    <row r="694" spans="1:10" x14ac:dyDescent="0.3">
      <c r="A694">
        <v>693</v>
      </c>
      <c r="B694">
        <v>590198266</v>
      </c>
      <c r="C694" t="s">
        <v>34</v>
      </c>
      <c r="D694" t="s">
        <v>10</v>
      </c>
      <c r="E694" s="1">
        <v>42125</v>
      </c>
      <c r="F694">
        <f t="shared" si="10"/>
        <v>2</v>
      </c>
      <c r="G694" t="s">
        <v>50</v>
      </c>
      <c r="H694" t="s">
        <v>16</v>
      </c>
      <c r="I694">
        <v>1637</v>
      </c>
      <c r="J694">
        <v>90264.18</v>
      </c>
    </row>
    <row r="695" spans="1:10" x14ac:dyDescent="0.3">
      <c r="A695">
        <v>694</v>
      </c>
      <c r="B695">
        <v>441395747</v>
      </c>
      <c r="C695" t="s">
        <v>34</v>
      </c>
      <c r="D695" t="s">
        <v>14</v>
      </c>
      <c r="E695" s="1">
        <v>41456</v>
      </c>
      <c r="F695">
        <f t="shared" si="10"/>
        <v>3</v>
      </c>
      <c r="G695" t="s">
        <v>15</v>
      </c>
      <c r="H695" t="s">
        <v>16</v>
      </c>
      <c r="I695">
        <v>7665</v>
      </c>
      <c r="J695">
        <v>422648.1</v>
      </c>
    </row>
    <row r="696" spans="1:10" x14ac:dyDescent="0.3">
      <c r="A696">
        <v>695</v>
      </c>
      <c r="B696">
        <v>496897733</v>
      </c>
      <c r="C696" t="s">
        <v>43</v>
      </c>
      <c r="D696" t="s">
        <v>10</v>
      </c>
      <c r="E696" s="1">
        <v>40330</v>
      </c>
      <c r="F696">
        <f t="shared" si="10"/>
        <v>2</v>
      </c>
      <c r="G696" t="s">
        <v>59</v>
      </c>
      <c r="H696" t="s">
        <v>19</v>
      </c>
      <c r="I696">
        <v>1936</v>
      </c>
      <c r="J696">
        <v>48516.160000000003</v>
      </c>
    </row>
    <row r="697" spans="1:10" x14ac:dyDescent="0.3">
      <c r="A697">
        <v>696</v>
      </c>
      <c r="B697">
        <v>106753051</v>
      </c>
      <c r="C697" t="s">
        <v>41</v>
      </c>
      <c r="D697" t="s">
        <v>14</v>
      </c>
      <c r="E697" s="1">
        <v>40848</v>
      </c>
      <c r="F697">
        <f t="shared" si="10"/>
        <v>4</v>
      </c>
      <c r="G697" t="s">
        <v>31</v>
      </c>
      <c r="H697" t="s">
        <v>19</v>
      </c>
      <c r="I697">
        <v>9455</v>
      </c>
      <c r="J697">
        <v>148065.29999999999</v>
      </c>
    </row>
    <row r="698" spans="1:10" x14ac:dyDescent="0.3">
      <c r="A698">
        <v>697</v>
      </c>
      <c r="B698">
        <v>941323029</v>
      </c>
      <c r="C698" t="s">
        <v>24</v>
      </c>
      <c r="D698" t="s">
        <v>10</v>
      </c>
      <c r="E698" s="1">
        <v>42644</v>
      </c>
      <c r="F698">
        <f t="shared" si="10"/>
        <v>4</v>
      </c>
      <c r="G698" t="s">
        <v>59</v>
      </c>
      <c r="H698" t="s">
        <v>19</v>
      </c>
      <c r="I698">
        <v>7258</v>
      </c>
      <c r="J698">
        <v>17491.78</v>
      </c>
    </row>
    <row r="699" spans="1:10" x14ac:dyDescent="0.3">
      <c r="A699">
        <v>698</v>
      </c>
      <c r="B699">
        <v>241281497</v>
      </c>
      <c r="C699" t="s">
        <v>13</v>
      </c>
      <c r="D699" t="s">
        <v>10</v>
      </c>
      <c r="E699" s="1">
        <v>41671</v>
      </c>
      <c r="F699">
        <f t="shared" si="10"/>
        <v>1</v>
      </c>
      <c r="G699" t="s">
        <v>58</v>
      </c>
      <c r="H699" t="s">
        <v>26</v>
      </c>
      <c r="I699">
        <v>9412</v>
      </c>
      <c r="J699">
        <v>594179.56000000006</v>
      </c>
    </row>
    <row r="700" spans="1:10" x14ac:dyDescent="0.3">
      <c r="A700">
        <v>699</v>
      </c>
      <c r="B700">
        <v>267614781</v>
      </c>
      <c r="C700" t="s">
        <v>47</v>
      </c>
      <c r="D700" t="s">
        <v>10</v>
      </c>
      <c r="E700" s="1">
        <v>42461</v>
      </c>
      <c r="F700">
        <f t="shared" si="10"/>
        <v>2</v>
      </c>
      <c r="G700" t="s">
        <v>35</v>
      </c>
      <c r="H700" t="s">
        <v>19</v>
      </c>
      <c r="I700">
        <v>2016</v>
      </c>
      <c r="J700">
        <v>115315.2</v>
      </c>
    </row>
    <row r="701" spans="1:10" x14ac:dyDescent="0.3">
      <c r="A701">
        <v>700</v>
      </c>
      <c r="B701">
        <v>651621711</v>
      </c>
      <c r="C701" t="s">
        <v>9</v>
      </c>
      <c r="D701" t="s">
        <v>10</v>
      </c>
      <c r="E701" s="1">
        <v>40391</v>
      </c>
      <c r="F701">
        <f t="shared" si="10"/>
        <v>3</v>
      </c>
      <c r="G701" t="s">
        <v>51</v>
      </c>
      <c r="H701" t="s">
        <v>26</v>
      </c>
      <c r="I701">
        <v>8200</v>
      </c>
      <c r="J701">
        <v>1425734</v>
      </c>
    </row>
    <row r="702" spans="1:10" x14ac:dyDescent="0.3">
      <c r="A702">
        <v>701</v>
      </c>
      <c r="B702">
        <v>644913613</v>
      </c>
      <c r="C702" t="s">
        <v>43</v>
      </c>
      <c r="D702" t="s">
        <v>14</v>
      </c>
      <c r="E702" s="1">
        <v>42217</v>
      </c>
      <c r="F702">
        <f t="shared" si="10"/>
        <v>3</v>
      </c>
      <c r="G702" t="s">
        <v>58</v>
      </c>
      <c r="H702" t="s">
        <v>26</v>
      </c>
      <c r="I702">
        <v>3124</v>
      </c>
      <c r="J702">
        <v>78287.44</v>
      </c>
    </row>
    <row r="703" spans="1:10" x14ac:dyDescent="0.3">
      <c r="A703">
        <v>702</v>
      </c>
      <c r="B703">
        <v>469414317</v>
      </c>
      <c r="C703" t="s">
        <v>20</v>
      </c>
      <c r="D703" t="s">
        <v>10</v>
      </c>
      <c r="E703" s="1">
        <v>42583</v>
      </c>
      <c r="F703">
        <f t="shared" si="10"/>
        <v>3</v>
      </c>
      <c r="G703" t="s">
        <v>51</v>
      </c>
      <c r="H703" t="s">
        <v>26</v>
      </c>
      <c r="I703">
        <v>8983</v>
      </c>
      <c r="J703">
        <v>795803.97</v>
      </c>
    </row>
    <row r="704" spans="1:10" x14ac:dyDescent="0.3">
      <c r="A704">
        <v>703</v>
      </c>
      <c r="B704">
        <v>867360150</v>
      </c>
      <c r="C704" t="s">
        <v>30</v>
      </c>
      <c r="D704" t="s">
        <v>14</v>
      </c>
      <c r="E704" s="1">
        <v>42156</v>
      </c>
      <c r="F704">
        <f t="shared" si="10"/>
        <v>2</v>
      </c>
      <c r="G704" t="s">
        <v>39</v>
      </c>
      <c r="H704" t="s">
        <v>28</v>
      </c>
      <c r="I704">
        <v>9998</v>
      </c>
      <c r="J704">
        <v>734253.12</v>
      </c>
    </row>
    <row r="705" spans="1:10" x14ac:dyDescent="0.3">
      <c r="A705">
        <v>704</v>
      </c>
      <c r="B705">
        <v>851299941</v>
      </c>
      <c r="C705" t="s">
        <v>30</v>
      </c>
      <c r="D705" t="s">
        <v>14</v>
      </c>
      <c r="E705" s="1">
        <v>40544</v>
      </c>
      <c r="F705">
        <f t="shared" si="10"/>
        <v>1</v>
      </c>
      <c r="G705" t="s">
        <v>44</v>
      </c>
      <c r="H705" t="s">
        <v>26</v>
      </c>
      <c r="I705">
        <v>7425</v>
      </c>
      <c r="J705">
        <v>545292</v>
      </c>
    </row>
    <row r="706" spans="1:10" x14ac:dyDescent="0.3">
      <c r="A706">
        <v>705</v>
      </c>
      <c r="B706">
        <v>854095017</v>
      </c>
      <c r="C706" t="s">
        <v>41</v>
      </c>
      <c r="D706" t="s">
        <v>10</v>
      </c>
      <c r="E706" s="1">
        <v>40575</v>
      </c>
      <c r="F706">
        <f t="shared" ref="F706:F769" si="11">ROUNDUP(MONTH(E706)/3,0)</f>
        <v>1</v>
      </c>
      <c r="G706" t="s">
        <v>37</v>
      </c>
      <c r="H706" t="s">
        <v>26</v>
      </c>
      <c r="I706">
        <v>4550</v>
      </c>
      <c r="J706">
        <v>71253</v>
      </c>
    </row>
    <row r="707" spans="1:10" x14ac:dyDescent="0.3">
      <c r="A707">
        <v>706</v>
      </c>
      <c r="B707">
        <v>478919208</v>
      </c>
      <c r="C707" t="s">
        <v>13</v>
      </c>
      <c r="D707" t="s">
        <v>10</v>
      </c>
      <c r="E707" s="1">
        <v>41214</v>
      </c>
      <c r="F707">
        <f t="shared" si="11"/>
        <v>4</v>
      </c>
      <c r="G707" t="s">
        <v>15</v>
      </c>
      <c r="H707" t="s">
        <v>16</v>
      </c>
      <c r="I707">
        <v>1691</v>
      </c>
      <c r="J707">
        <v>106752.83</v>
      </c>
    </row>
    <row r="708" spans="1:10" x14ac:dyDescent="0.3">
      <c r="A708">
        <v>707</v>
      </c>
      <c r="B708">
        <v>749258840</v>
      </c>
      <c r="C708" t="s">
        <v>30</v>
      </c>
      <c r="D708" t="s">
        <v>10</v>
      </c>
      <c r="E708" s="1">
        <v>41883</v>
      </c>
      <c r="F708">
        <f t="shared" si="11"/>
        <v>3</v>
      </c>
      <c r="G708" t="s">
        <v>33</v>
      </c>
      <c r="H708" t="s">
        <v>12</v>
      </c>
      <c r="I708">
        <v>1196</v>
      </c>
      <c r="J708">
        <v>87834.240000000005</v>
      </c>
    </row>
    <row r="709" spans="1:10" x14ac:dyDescent="0.3">
      <c r="A709">
        <v>708</v>
      </c>
      <c r="B709">
        <v>958912742</v>
      </c>
      <c r="C709" t="s">
        <v>17</v>
      </c>
      <c r="D709" t="s">
        <v>10</v>
      </c>
      <c r="E709" s="1">
        <v>41030</v>
      </c>
      <c r="F709">
        <f t="shared" si="11"/>
        <v>2</v>
      </c>
      <c r="G709" t="s">
        <v>57</v>
      </c>
      <c r="H709" t="s">
        <v>16</v>
      </c>
      <c r="I709">
        <v>2444</v>
      </c>
      <c r="J709">
        <v>234281.84</v>
      </c>
    </row>
    <row r="710" spans="1:10" x14ac:dyDescent="0.3">
      <c r="A710">
        <v>709</v>
      </c>
      <c r="B710">
        <v>921992242</v>
      </c>
      <c r="C710" t="s">
        <v>43</v>
      </c>
      <c r="D710" t="s">
        <v>14</v>
      </c>
      <c r="E710" s="1">
        <v>40210</v>
      </c>
      <c r="F710">
        <f t="shared" si="11"/>
        <v>1</v>
      </c>
      <c r="G710" t="s">
        <v>46</v>
      </c>
      <c r="H710" t="s">
        <v>28</v>
      </c>
      <c r="I710">
        <v>6848</v>
      </c>
      <c r="J710">
        <v>171610.88</v>
      </c>
    </row>
    <row r="711" spans="1:10" x14ac:dyDescent="0.3">
      <c r="A711">
        <v>710</v>
      </c>
      <c r="B711">
        <v>522921168</v>
      </c>
      <c r="C711" t="s">
        <v>13</v>
      </c>
      <c r="D711" t="s">
        <v>14</v>
      </c>
      <c r="E711" s="1">
        <v>42767</v>
      </c>
      <c r="F711">
        <f t="shared" si="11"/>
        <v>1</v>
      </c>
      <c r="G711" t="s">
        <v>44</v>
      </c>
      <c r="H711" t="s">
        <v>26</v>
      </c>
      <c r="I711">
        <v>2849</v>
      </c>
      <c r="J711">
        <v>179857.37</v>
      </c>
    </row>
    <row r="712" spans="1:10" x14ac:dyDescent="0.3">
      <c r="A712">
        <v>711</v>
      </c>
      <c r="B712">
        <v>166435849</v>
      </c>
      <c r="C712" t="s">
        <v>43</v>
      </c>
      <c r="D712" t="s">
        <v>10</v>
      </c>
      <c r="E712" s="1">
        <v>41395</v>
      </c>
      <c r="F712">
        <f t="shared" si="11"/>
        <v>2</v>
      </c>
      <c r="G712" t="s">
        <v>53</v>
      </c>
      <c r="H712" t="s">
        <v>16</v>
      </c>
      <c r="I712">
        <v>921</v>
      </c>
      <c r="J712">
        <v>23080.26</v>
      </c>
    </row>
    <row r="713" spans="1:10" x14ac:dyDescent="0.3">
      <c r="A713">
        <v>712</v>
      </c>
      <c r="B713">
        <v>327585113</v>
      </c>
      <c r="C713" t="s">
        <v>17</v>
      </c>
      <c r="D713" t="s">
        <v>10</v>
      </c>
      <c r="E713" s="1">
        <v>41579</v>
      </c>
      <c r="F713">
        <f t="shared" si="11"/>
        <v>4</v>
      </c>
      <c r="G713" t="s">
        <v>45</v>
      </c>
      <c r="H713" t="s">
        <v>12</v>
      </c>
      <c r="I713">
        <v>8569</v>
      </c>
      <c r="J713">
        <v>821424.34</v>
      </c>
    </row>
    <row r="714" spans="1:10" x14ac:dyDescent="0.3">
      <c r="A714">
        <v>713</v>
      </c>
      <c r="B714">
        <v>201730287</v>
      </c>
      <c r="C714" t="s">
        <v>30</v>
      </c>
      <c r="D714" t="s">
        <v>10</v>
      </c>
      <c r="E714" s="1">
        <v>40909</v>
      </c>
      <c r="F714">
        <f t="shared" si="11"/>
        <v>1</v>
      </c>
      <c r="G714" t="s">
        <v>21</v>
      </c>
      <c r="H714" t="s">
        <v>19</v>
      </c>
      <c r="I714">
        <v>5330</v>
      </c>
      <c r="J714">
        <v>391435.2</v>
      </c>
    </row>
    <row r="715" spans="1:10" x14ac:dyDescent="0.3">
      <c r="A715">
        <v>714</v>
      </c>
      <c r="B715">
        <v>854545199</v>
      </c>
      <c r="C715" t="s">
        <v>24</v>
      </c>
      <c r="D715" t="s">
        <v>10</v>
      </c>
      <c r="E715" s="1">
        <v>41518</v>
      </c>
      <c r="F715">
        <f t="shared" si="11"/>
        <v>3</v>
      </c>
      <c r="G715" t="s">
        <v>55</v>
      </c>
      <c r="H715" t="s">
        <v>26</v>
      </c>
      <c r="I715">
        <v>7769</v>
      </c>
      <c r="J715">
        <v>18723.29</v>
      </c>
    </row>
    <row r="716" spans="1:10" x14ac:dyDescent="0.3">
      <c r="A716">
        <v>715</v>
      </c>
      <c r="B716">
        <v>272016179</v>
      </c>
      <c r="C716" t="s">
        <v>43</v>
      </c>
      <c r="D716" t="s">
        <v>14</v>
      </c>
      <c r="E716" s="1">
        <v>40422</v>
      </c>
      <c r="F716">
        <f t="shared" si="11"/>
        <v>3</v>
      </c>
      <c r="G716" t="s">
        <v>55</v>
      </c>
      <c r="H716" t="s">
        <v>26</v>
      </c>
      <c r="I716">
        <v>4487</v>
      </c>
      <c r="J716">
        <v>112444.22</v>
      </c>
    </row>
    <row r="717" spans="1:10" x14ac:dyDescent="0.3">
      <c r="A717">
        <v>716</v>
      </c>
      <c r="B717">
        <v>110442054</v>
      </c>
      <c r="C717" t="s">
        <v>20</v>
      </c>
      <c r="D717" t="s">
        <v>10</v>
      </c>
      <c r="E717" s="1">
        <v>41913</v>
      </c>
      <c r="F717">
        <f t="shared" si="11"/>
        <v>4</v>
      </c>
      <c r="G717" t="s">
        <v>25</v>
      </c>
      <c r="H717" t="s">
        <v>26</v>
      </c>
      <c r="I717">
        <v>1113</v>
      </c>
      <c r="J717">
        <v>98600.67</v>
      </c>
    </row>
    <row r="718" spans="1:10" x14ac:dyDescent="0.3">
      <c r="A718">
        <v>717</v>
      </c>
      <c r="B718">
        <v>746434152</v>
      </c>
      <c r="C718" t="s">
        <v>36</v>
      </c>
      <c r="D718" t="s">
        <v>10</v>
      </c>
      <c r="E718" s="1">
        <v>42370</v>
      </c>
      <c r="F718">
        <f t="shared" si="11"/>
        <v>1</v>
      </c>
      <c r="G718" t="s">
        <v>27</v>
      </c>
      <c r="H718" t="s">
        <v>28</v>
      </c>
      <c r="I718">
        <v>5308</v>
      </c>
      <c r="J718">
        <v>879694.84</v>
      </c>
    </row>
    <row r="719" spans="1:10" x14ac:dyDescent="0.3">
      <c r="A719">
        <v>718</v>
      </c>
      <c r="B719">
        <v>826916301</v>
      </c>
      <c r="C719" t="s">
        <v>13</v>
      </c>
      <c r="D719" t="s">
        <v>14</v>
      </c>
      <c r="E719" s="1">
        <v>42705</v>
      </c>
      <c r="F719">
        <f t="shared" si="11"/>
        <v>4</v>
      </c>
      <c r="G719" t="s">
        <v>42</v>
      </c>
      <c r="H719" t="s">
        <v>26</v>
      </c>
      <c r="I719">
        <v>1764</v>
      </c>
      <c r="J719">
        <v>111361.32</v>
      </c>
    </row>
    <row r="720" spans="1:10" x14ac:dyDescent="0.3">
      <c r="A720">
        <v>719</v>
      </c>
      <c r="B720">
        <v>419124829</v>
      </c>
      <c r="C720" t="s">
        <v>41</v>
      </c>
      <c r="D720" t="s">
        <v>10</v>
      </c>
      <c r="E720" s="1">
        <v>41487</v>
      </c>
      <c r="F720">
        <f t="shared" si="11"/>
        <v>3</v>
      </c>
      <c r="G720" t="s">
        <v>46</v>
      </c>
      <c r="H720" t="s">
        <v>28</v>
      </c>
      <c r="I720">
        <v>7206</v>
      </c>
      <c r="J720">
        <v>112845.96</v>
      </c>
    </row>
    <row r="721" spans="1:10" x14ac:dyDescent="0.3">
      <c r="A721">
        <v>720</v>
      </c>
      <c r="B721">
        <v>560608565</v>
      </c>
      <c r="C721" t="s">
        <v>40</v>
      </c>
      <c r="D721" t="s">
        <v>14</v>
      </c>
      <c r="E721" s="1">
        <v>41821</v>
      </c>
      <c r="F721">
        <f t="shared" si="11"/>
        <v>3</v>
      </c>
      <c r="G721" t="s">
        <v>48</v>
      </c>
      <c r="H721" t="s">
        <v>16</v>
      </c>
      <c r="I721">
        <v>5387</v>
      </c>
      <c r="J721">
        <v>680108.75</v>
      </c>
    </row>
    <row r="722" spans="1:10" x14ac:dyDescent="0.3">
      <c r="A722">
        <v>721</v>
      </c>
      <c r="B722">
        <v>109228837</v>
      </c>
      <c r="C722" t="s">
        <v>40</v>
      </c>
      <c r="D722" t="s">
        <v>10</v>
      </c>
      <c r="E722" s="1">
        <v>41579</v>
      </c>
      <c r="F722">
        <f t="shared" si="11"/>
        <v>4</v>
      </c>
      <c r="G722" t="s">
        <v>52</v>
      </c>
      <c r="H722" t="s">
        <v>19</v>
      </c>
      <c r="I722">
        <v>2095</v>
      </c>
      <c r="J722">
        <v>264493.75</v>
      </c>
    </row>
    <row r="723" spans="1:10" x14ac:dyDescent="0.3">
      <c r="A723">
        <v>722</v>
      </c>
      <c r="B723">
        <v>693159472</v>
      </c>
      <c r="C723" t="s">
        <v>30</v>
      </c>
      <c r="D723" t="s">
        <v>10</v>
      </c>
      <c r="E723" s="1">
        <v>40544</v>
      </c>
      <c r="F723">
        <f t="shared" si="11"/>
        <v>1</v>
      </c>
      <c r="G723" t="s">
        <v>50</v>
      </c>
      <c r="H723" t="s">
        <v>16</v>
      </c>
      <c r="I723">
        <v>146</v>
      </c>
      <c r="J723">
        <v>10722.24</v>
      </c>
    </row>
    <row r="724" spans="1:10" x14ac:dyDescent="0.3">
      <c r="A724">
        <v>723</v>
      </c>
      <c r="B724">
        <v>860886800</v>
      </c>
      <c r="C724" t="s">
        <v>34</v>
      </c>
      <c r="D724" t="s">
        <v>10</v>
      </c>
      <c r="E724" s="1">
        <v>41579</v>
      </c>
      <c r="F724">
        <f t="shared" si="11"/>
        <v>4</v>
      </c>
      <c r="G724" t="s">
        <v>18</v>
      </c>
      <c r="H724" t="s">
        <v>19</v>
      </c>
      <c r="I724">
        <v>4390</v>
      </c>
      <c r="J724">
        <v>242064.6</v>
      </c>
    </row>
    <row r="725" spans="1:10" x14ac:dyDescent="0.3">
      <c r="A725">
        <v>724</v>
      </c>
      <c r="B725">
        <v>131209647</v>
      </c>
      <c r="C725" t="s">
        <v>24</v>
      </c>
      <c r="D725" t="s">
        <v>10</v>
      </c>
      <c r="E725" s="1">
        <v>41000</v>
      </c>
      <c r="F725">
        <f t="shared" si="11"/>
        <v>2</v>
      </c>
      <c r="G725" t="s">
        <v>58</v>
      </c>
      <c r="H725" t="s">
        <v>26</v>
      </c>
      <c r="I725">
        <v>6705</v>
      </c>
      <c r="J725">
        <v>16159.05</v>
      </c>
    </row>
    <row r="726" spans="1:10" x14ac:dyDescent="0.3">
      <c r="A726">
        <v>725</v>
      </c>
      <c r="B726">
        <v>343239343</v>
      </c>
      <c r="C726" t="s">
        <v>40</v>
      </c>
      <c r="D726" t="s">
        <v>14</v>
      </c>
      <c r="E726" s="1">
        <v>41061</v>
      </c>
      <c r="F726">
        <f t="shared" si="11"/>
        <v>2</v>
      </c>
      <c r="G726" t="s">
        <v>39</v>
      </c>
      <c r="H726" t="s">
        <v>28</v>
      </c>
      <c r="I726">
        <v>1004</v>
      </c>
      <c r="J726">
        <v>126755</v>
      </c>
    </row>
    <row r="727" spans="1:10" x14ac:dyDescent="0.3">
      <c r="A727">
        <v>726</v>
      </c>
      <c r="B727">
        <v>706399714</v>
      </c>
      <c r="C727" t="s">
        <v>30</v>
      </c>
      <c r="D727" t="s">
        <v>14</v>
      </c>
      <c r="E727" s="1">
        <v>40330</v>
      </c>
      <c r="F727">
        <f t="shared" si="11"/>
        <v>2</v>
      </c>
      <c r="G727" t="s">
        <v>50</v>
      </c>
      <c r="H727" t="s">
        <v>16</v>
      </c>
      <c r="I727">
        <v>8228</v>
      </c>
      <c r="J727">
        <v>604264.31999999995</v>
      </c>
    </row>
    <row r="728" spans="1:10" x14ac:dyDescent="0.3">
      <c r="A728">
        <v>727</v>
      </c>
      <c r="B728">
        <v>950427091</v>
      </c>
      <c r="C728" t="s">
        <v>40</v>
      </c>
      <c r="D728" t="s">
        <v>14</v>
      </c>
      <c r="E728" s="1">
        <v>40391</v>
      </c>
      <c r="F728">
        <f t="shared" si="11"/>
        <v>3</v>
      </c>
      <c r="G728" t="s">
        <v>21</v>
      </c>
      <c r="H728" t="s">
        <v>19</v>
      </c>
      <c r="I728">
        <v>1352</v>
      </c>
      <c r="J728">
        <v>170690</v>
      </c>
    </row>
    <row r="729" spans="1:10" x14ac:dyDescent="0.3">
      <c r="A729">
        <v>728</v>
      </c>
      <c r="B729">
        <v>875370299</v>
      </c>
      <c r="C729" t="s">
        <v>34</v>
      </c>
      <c r="D729" t="s">
        <v>10</v>
      </c>
      <c r="E729" s="1">
        <v>41974</v>
      </c>
      <c r="F729">
        <f t="shared" si="11"/>
        <v>4</v>
      </c>
      <c r="G729" t="s">
        <v>51</v>
      </c>
      <c r="H729" t="s">
        <v>26</v>
      </c>
      <c r="I729">
        <v>379</v>
      </c>
      <c r="J729">
        <v>20898.060000000001</v>
      </c>
    </row>
    <row r="730" spans="1:10" x14ac:dyDescent="0.3">
      <c r="A730">
        <v>729</v>
      </c>
      <c r="B730">
        <v>801590669</v>
      </c>
      <c r="C730" t="s">
        <v>30</v>
      </c>
      <c r="D730" t="s">
        <v>14</v>
      </c>
      <c r="E730" s="1">
        <v>40544</v>
      </c>
      <c r="F730">
        <f t="shared" si="11"/>
        <v>1</v>
      </c>
      <c r="G730" t="s">
        <v>25</v>
      </c>
      <c r="H730" t="s">
        <v>26</v>
      </c>
      <c r="I730">
        <v>7347</v>
      </c>
      <c r="J730">
        <v>539563.68000000005</v>
      </c>
    </row>
    <row r="731" spans="1:10" x14ac:dyDescent="0.3">
      <c r="A731">
        <v>730</v>
      </c>
      <c r="B731">
        <v>219762027</v>
      </c>
      <c r="C731" t="s">
        <v>43</v>
      </c>
      <c r="D731" t="s">
        <v>10</v>
      </c>
      <c r="E731" s="1">
        <v>41760</v>
      </c>
      <c r="F731">
        <f t="shared" si="11"/>
        <v>2</v>
      </c>
      <c r="G731" t="s">
        <v>48</v>
      </c>
      <c r="H731" t="s">
        <v>16</v>
      </c>
      <c r="I731">
        <v>1322</v>
      </c>
      <c r="J731">
        <v>33129.32</v>
      </c>
    </row>
    <row r="732" spans="1:10" x14ac:dyDescent="0.3">
      <c r="A732">
        <v>731</v>
      </c>
      <c r="B732">
        <v>940870702</v>
      </c>
      <c r="C732" t="s">
        <v>20</v>
      </c>
      <c r="D732" t="s">
        <v>10</v>
      </c>
      <c r="E732" s="1">
        <v>40483</v>
      </c>
      <c r="F732">
        <f t="shared" si="11"/>
        <v>4</v>
      </c>
      <c r="G732" t="s">
        <v>46</v>
      </c>
      <c r="H732" t="s">
        <v>28</v>
      </c>
      <c r="I732">
        <v>3404</v>
      </c>
      <c r="J732">
        <v>301560.36</v>
      </c>
    </row>
    <row r="733" spans="1:10" x14ac:dyDescent="0.3">
      <c r="A733">
        <v>732</v>
      </c>
      <c r="B733">
        <v>346215522</v>
      </c>
      <c r="C733" t="s">
        <v>24</v>
      </c>
      <c r="D733" t="s">
        <v>14</v>
      </c>
      <c r="E733" s="1">
        <v>41699</v>
      </c>
      <c r="F733">
        <f t="shared" si="11"/>
        <v>1</v>
      </c>
      <c r="G733" t="s">
        <v>53</v>
      </c>
      <c r="H733" t="s">
        <v>16</v>
      </c>
      <c r="I733">
        <v>1721</v>
      </c>
      <c r="J733">
        <v>4147.6099999999997</v>
      </c>
    </row>
    <row r="734" spans="1:10" x14ac:dyDescent="0.3">
      <c r="A734">
        <v>733</v>
      </c>
      <c r="B734">
        <v>837407815</v>
      </c>
      <c r="C734" t="s">
        <v>30</v>
      </c>
      <c r="D734" t="s">
        <v>10</v>
      </c>
      <c r="E734" s="1">
        <v>42552</v>
      </c>
      <c r="F734">
        <f t="shared" si="11"/>
        <v>3</v>
      </c>
      <c r="G734" t="s">
        <v>46</v>
      </c>
      <c r="H734" t="s">
        <v>28</v>
      </c>
      <c r="I734">
        <v>6436</v>
      </c>
      <c r="J734">
        <v>472659.84</v>
      </c>
    </row>
    <row r="735" spans="1:10" x14ac:dyDescent="0.3">
      <c r="A735">
        <v>734</v>
      </c>
      <c r="B735">
        <v>386371409</v>
      </c>
      <c r="C735" t="s">
        <v>47</v>
      </c>
      <c r="D735" t="s">
        <v>14</v>
      </c>
      <c r="E735" s="1">
        <v>41821</v>
      </c>
      <c r="F735">
        <f t="shared" si="11"/>
        <v>3</v>
      </c>
      <c r="G735" t="s">
        <v>56</v>
      </c>
      <c r="H735" t="s">
        <v>19</v>
      </c>
      <c r="I735">
        <v>4741</v>
      </c>
      <c r="J735">
        <v>271185.2</v>
      </c>
    </row>
    <row r="736" spans="1:10" x14ac:dyDescent="0.3">
      <c r="A736">
        <v>735</v>
      </c>
      <c r="B736">
        <v>185342633</v>
      </c>
      <c r="C736" t="s">
        <v>41</v>
      </c>
      <c r="D736" t="s">
        <v>10</v>
      </c>
      <c r="E736" s="1">
        <v>41548</v>
      </c>
      <c r="F736">
        <f t="shared" si="11"/>
        <v>4</v>
      </c>
      <c r="G736" t="s">
        <v>37</v>
      </c>
      <c r="H736" t="s">
        <v>26</v>
      </c>
      <c r="I736">
        <v>5859</v>
      </c>
      <c r="J736">
        <v>91751.94</v>
      </c>
    </row>
    <row r="737" spans="1:10" x14ac:dyDescent="0.3">
      <c r="A737">
        <v>736</v>
      </c>
      <c r="B737">
        <v>596870315</v>
      </c>
      <c r="C737" t="s">
        <v>34</v>
      </c>
      <c r="D737" t="s">
        <v>10</v>
      </c>
      <c r="E737" s="1">
        <v>42736</v>
      </c>
      <c r="F737">
        <f t="shared" si="11"/>
        <v>1</v>
      </c>
      <c r="G737" t="s">
        <v>45</v>
      </c>
      <c r="H737" t="s">
        <v>12</v>
      </c>
      <c r="I737">
        <v>6045</v>
      </c>
      <c r="J737">
        <v>333321.3</v>
      </c>
    </row>
    <row r="738" spans="1:10" x14ac:dyDescent="0.3">
      <c r="A738">
        <v>737</v>
      </c>
      <c r="B738">
        <v>703815782</v>
      </c>
      <c r="C738" t="s">
        <v>47</v>
      </c>
      <c r="D738" t="s">
        <v>14</v>
      </c>
      <c r="E738" s="1">
        <v>41244</v>
      </c>
      <c r="F738">
        <f t="shared" si="11"/>
        <v>4</v>
      </c>
      <c r="G738" t="s">
        <v>46</v>
      </c>
      <c r="H738" t="s">
        <v>28</v>
      </c>
      <c r="I738">
        <v>3585</v>
      </c>
      <c r="J738">
        <v>205062</v>
      </c>
    </row>
    <row r="739" spans="1:10" x14ac:dyDescent="0.3">
      <c r="A739">
        <v>738</v>
      </c>
      <c r="B739">
        <v>559352862</v>
      </c>
      <c r="C739" t="s">
        <v>43</v>
      </c>
      <c r="D739" t="s">
        <v>14</v>
      </c>
      <c r="E739" s="1">
        <v>40269</v>
      </c>
      <c r="F739">
        <f t="shared" si="11"/>
        <v>2</v>
      </c>
      <c r="G739" t="s">
        <v>33</v>
      </c>
      <c r="H739" t="s">
        <v>12</v>
      </c>
      <c r="I739">
        <v>3797</v>
      </c>
      <c r="J739">
        <v>95152.82</v>
      </c>
    </row>
    <row r="740" spans="1:10" x14ac:dyDescent="0.3">
      <c r="A740">
        <v>739</v>
      </c>
      <c r="B740">
        <v>736967885</v>
      </c>
      <c r="C740" t="s">
        <v>9</v>
      </c>
      <c r="D740" t="s">
        <v>10</v>
      </c>
      <c r="E740" s="1">
        <v>40575</v>
      </c>
      <c r="F740">
        <f t="shared" si="11"/>
        <v>1</v>
      </c>
      <c r="G740" t="s">
        <v>56</v>
      </c>
      <c r="H740" t="s">
        <v>19</v>
      </c>
      <c r="I740">
        <v>4029</v>
      </c>
      <c r="J740">
        <v>700522.23</v>
      </c>
    </row>
    <row r="741" spans="1:10" x14ac:dyDescent="0.3">
      <c r="A741">
        <v>740</v>
      </c>
      <c r="B741">
        <v>980459678</v>
      </c>
      <c r="C741" t="s">
        <v>30</v>
      </c>
      <c r="D741" t="s">
        <v>10</v>
      </c>
      <c r="E741" s="1">
        <v>42005</v>
      </c>
      <c r="F741">
        <f t="shared" si="11"/>
        <v>1</v>
      </c>
      <c r="G741" t="s">
        <v>37</v>
      </c>
      <c r="H741" t="s">
        <v>26</v>
      </c>
      <c r="I741">
        <v>8661</v>
      </c>
      <c r="J741">
        <v>636063.84</v>
      </c>
    </row>
    <row r="742" spans="1:10" x14ac:dyDescent="0.3">
      <c r="A742">
        <v>741</v>
      </c>
      <c r="B742">
        <v>653939568</v>
      </c>
      <c r="C742" t="s">
        <v>13</v>
      </c>
      <c r="D742" t="s">
        <v>10</v>
      </c>
      <c r="E742" s="1">
        <v>41944</v>
      </c>
      <c r="F742">
        <f t="shared" si="11"/>
        <v>4</v>
      </c>
      <c r="G742" t="s">
        <v>32</v>
      </c>
      <c r="H742" t="s">
        <v>26</v>
      </c>
      <c r="I742">
        <v>4105</v>
      </c>
      <c r="J742">
        <v>259148.65</v>
      </c>
    </row>
    <row r="743" spans="1:10" x14ac:dyDescent="0.3">
      <c r="A743">
        <v>742</v>
      </c>
      <c r="B743">
        <v>991831386</v>
      </c>
      <c r="C743" t="s">
        <v>9</v>
      </c>
      <c r="D743" t="s">
        <v>14</v>
      </c>
      <c r="E743" s="1">
        <v>42370</v>
      </c>
      <c r="F743">
        <f t="shared" si="11"/>
        <v>1</v>
      </c>
      <c r="G743" t="s">
        <v>55</v>
      </c>
      <c r="H743" t="s">
        <v>26</v>
      </c>
      <c r="I743">
        <v>3803</v>
      </c>
      <c r="J743">
        <v>661227.61</v>
      </c>
    </row>
    <row r="744" spans="1:10" x14ac:dyDescent="0.3">
      <c r="A744">
        <v>743</v>
      </c>
      <c r="B744">
        <v>148871457</v>
      </c>
      <c r="C744" t="s">
        <v>20</v>
      </c>
      <c r="D744" t="s">
        <v>14</v>
      </c>
      <c r="E744" s="1">
        <v>42856</v>
      </c>
      <c r="F744">
        <f t="shared" si="11"/>
        <v>2</v>
      </c>
      <c r="G744" t="s">
        <v>58</v>
      </c>
      <c r="H744" t="s">
        <v>26</v>
      </c>
      <c r="I744">
        <v>3227</v>
      </c>
      <c r="J744">
        <v>285879.93</v>
      </c>
    </row>
    <row r="745" spans="1:10" x14ac:dyDescent="0.3">
      <c r="A745">
        <v>744</v>
      </c>
      <c r="B745">
        <v>850108611</v>
      </c>
      <c r="C745" t="s">
        <v>24</v>
      </c>
      <c r="D745" t="s">
        <v>14</v>
      </c>
      <c r="E745" s="1">
        <v>42036</v>
      </c>
      <c r="F745">
        <f t="shared" si="11"/>
        <v>1</v>
      </c>
      <c r="G745" t="s">
        <v>59</v>
      </c>
      <c r="H745" t="s">
        <v>19</v>
      </c>
      <c r="I745">
        <v>4884</v>
      </c>
      <c r="J745">
        <v>11770.44</v>
      </c>
    </row>
    <row r="746" spans="1:10" x14ac:dyDescent="0.3">
      <c r="A746">
        <v>745</v>
      </c>
      <c r="B746">
        <v>940904176</v>
      </c>
      <c r="C746" t="s">
        <v>40</v>
      </c>
      <c r="D746" t="s">
        <v>10</v>
      </c>
      <c r="E746" s="1">
        <v>41609</v>
      </c>
      <c r="F746">
        <f t="shared" si="11"/>
        <v>4</v>
      </c>
      <c r="G746" t="s">
        <v>54</v>
      </c>
      <c r="H746" t="s">
        <v>16</v>
      </c>
      <c r="I746">
        <v>3309</v>
      </c>
      <c r="J746">
        <v>417761.25</v>
      </c>
    </row>
    <row r="747" spans="1:10" x14ac:dyDescent="0.3">
      <c r="A747">
        <v>746</v>
      </c>
      <c r="B747">
        <v>136931979</v>
      </c>
      <c r="C747" t="s">
        <v>40</v>
      </c>
      <c r="D747" t="s">
        <v>10</v>
      </c>
      <c r="E747" s="1">
        <v>42339</v>
      </c>
      <c r="F747">
        <f t="shared" si="11"/>
        <v>4</v>
      </c>
      <c r="G747" t="s">
        <v>45</v>
      </c>
      <c r="H747" t="s">
        <v>12</v>
      </c>
      <c r="I747">
        <v>70</v>
      </c>
      <c r="J747">
        <v>8837.5</v>
      </c>
    </row>
    <row r="748" spans="1:10" x14ac:dyDescent="0.3">
      <c r="A748">
        <v>747</v>
      </c>
      <c r="B748">
        <v>474178349</v>
      </c>
      <c r="C748" t="s">
        <v>41</v>
      </c>
      <c r="D748" t="s">
        <v>10</v>
      </c>
      <c r="E748" s="1">
        <v>42614</v>
      </c>
      <c r="F748">
        <f t="shared" si="11"/>
        <v>3</v>
      </c>
      <c r="G748" t="s">
        <v>52</v>
      </c>
      <c r="H748" t="s">
        <v>19</v>
      </c>
      <c r="I748">
        <v>8766</v>
      </c>
      <c r="J748">
        <v>137275.56</v>
      </c>
    </row>
    <row r="749" spans="1:10" x14ac:dyDescent="0.3">
      <c r="A749">
        <v>748</v>
      </c>
      <c r="B749">
        <v>458942115</v>
      </c>
      <c r="C749" t="s">
        <v>43</v>
      </c>
      <c r="D749" t="s">
        <v>10</v>
      </c>
      <c r="E749" s="1">
        <v>42552</v>
      </c>
      <c r="F749">
        <f t="shared" si="11"/>
        <v>3</v>
      </c>
      <c r="G749" t="s">
        <v>21</v>
      </c>
      <c r="H749" t="s">
        <v>19</v>
      </c>
      <c r="I749">
        <v>25</v>
      </c>
      <c r="J749">
        <v>626.5</v>
      </c>
    </row>
    <row r="750" spans="1:10" x14ac:dyDescent="0.3">
      <c r="A750">
        <v>749</v>
      </c>
      <c r="B750">
        <v>917834603</v>
      </c>
      <c r="C750" t="s">
        <v>41</v>
      </c>
      <c r="D750" t="s">
        <v>10</v>
      </c>
      <c r="E750" s="1">
        <v>42736</v>
      </c>
      <c r="F750">
        <f t="shared" si="11"/>
        <v>1</v>
      </c>
      <c r="G750" t="s">
        <v>37</v>
      </c>
      <c r="H750" t="s">
        <v>26</v>
      </c>
      <c r="I750">
        <v>6510</v>
      </c>
      <c r="J750">
        <v>101946.6</v>
      </c>
    </row>
    <row r="751" spans="1:10" x14ac:dyDescent="0.3">
      <c r="A751">
        <v>750</v>
      </c>
      <c r="B751">
        <v>947779643</v>
      </c>
      <c r="C751" t="s">
        <v>43</v>
      </c>
      <c r="D751" t="s">
        <v>10</v>
      </c>
      <c r="E751" s="1">
        <v>42675</v>
      </c>
      <c r="F751">
        <f t="shared" si="11"/>
        <v>4</v>
      </c>
      <c r="G751" t="s">
        <v>11</v>
      </c>
      <c r="H751" t="s">
        <v>12</v>
      </c>
      <c r="I751">
        <v>7913</v>
      </c>
      <c r="J751">
        <v>198299.78</v>
      </c>
    </row>
    <row r="752" spans="1:10" x14ac:dyDescent="0.3">
      <c r="A752">
        <v>751</v>
      </c>
      <c r="B752">
        <v>166013562</v>
      </c>
      <c r="C752" t="s">
        <v>30</v>
      </c>
      <c r="D752" t="s">
        <v>14</v>
      </c>
      <c r="E752" s="1">
        <v>42278</v>
      </c>
      <c r="F752">
        <f t="shared" si="11"/>
        <v>4</v>
      </c>
      <c r="G752" t="s">
        <v>50</v>
      </c>
      <c r="H752" t="s">
        <v>16</v>
      </c>
      <c r="I752">
        <v>5957</v>
      </c>
      <c r="J752">
        <v>437482.08</v>
      </c>
    </row>
    <row r="753" spans="1:10" x14ac:dyDescent="0.3">
      <c r="A753">
        <v>752</v>
      </c>
      <c r="B753">
        <v>960085189</v>
      </c>
      <c r="C753" t="s">
        <v>41</v>
      </c>
      <c r="D753" t="s">
        <v>14</v>
      </c>
      <c r="E753" s="1">
        <v>40544</v>
      </c>
      <c r="F753">
        <f t="shared" si="11"/>
        <v>1</v>
      </c>
      <c r="G753" t="s">
        <v>31</v>
      </c>
      <c r="H753" t="s">
        <v>19</v>
      </c>
      <c r="I753">
        <v>9397</v>
      </c>
      <c r="J753">
        <v>147157.01999999999</v>
      </c>
    </row>
    <row r="754" spans="1:10" x14ac:dyDescent="0.3">
      <c r="A754">
        <v>753</v>
      </c>
      <c r="B754">
        <v>837855851</v>
      </c>
      <c r="C754" t="s">
        <v>9</v>
      </c>
      <c r="D754" t="s">
        <v>10</v>
      </c>
      <c r="E754" s="1">
        <v>42309</v>
      </c>
      <c r="F754">
        <f t="shared" si="11"/>
        <v>4</v>
      </c>
      <c r="G754" t="s">
        <v>54</v>
      </c>
      <c r="H754" t="s">
        <v>16</v>
      </c>
      <c r="I754">
        <v>9020</v>
      </c>
      <c r="J754">
        <v>1568307.4</v>
      </c>
    </row>
    <row r="755" spans="1:10" x14ac:dyDescent="0.3">
      <c r="A755">
        <v>754</v>
      </c>
      <c r="B755">
        <v>977499377</v>
      </c>
      <c r="C755" t="s">
        <v>34</v>
      </c>
      <c r="D755" t="s">
        <v>10</v>
      </c>
      <c r="E755" s="1">
        <v>40330</v>
      </c>
      <c r="F755">
        <f t="shared" si="11"/>
        <v>2</v>
      </c>
      <c r="G755" t="s">
        <v>44</v>
      </c>
      <c r="H755" t="s">
        <v>26</v>
      </c>
      <c r="I755">
        <v>2643</v>
      </c>
      <c r="J755">
        <v>145735.01999999999</v>
      </c>
    </row>
    <row r="756" spans="1:10" x14ac:dyDescent="0.3">
      <c r="A756">
        <v>755</v>
      </c>
      <c r="B756">
        <v>377502095</v>
      </c>
      <c r="C756" t="s">
        <v>41</v>
      </c>
      <c r="D756" t="s">
        <v>14</v>
      </c>
      <c r="E756" s="1">
        <v>41671</v>
      </c>
      <c r="F756">
        <f t="shared" si="11"/>
        <v>1</v>
      </c>
      <c r="G756" t="s">
        <v>49</v>
      </c>
      <c r="H756" t="s">
        <v>19</v>
      </c>
      <c r="I756">
        <v>114</v>
      </c>
      <c r="J756">
        <v>1785.24</v>
      </c>
    </row>
    <row r="757" spans="1:10" x14ac:dyDescent="0.3">
      <c r="A757">
        <v>756</v>
      </c>
      <c r="B757">
        <v>806662833</v>
      </c>
      <c r="C757" t="s">
        <v>47</v>
      </c>
      <c r="D757" t="s">
        <v>10</v>
      </c>
      <c r="E757" s="1">
        <v>41306</v>
      </c>
      <c r="F757">
        <f t="shared" si="11"/>
        <v>1</v>
      </c>
      <c r="G757" t="s">
        <v>38</v>
      </c>
      <c r="H757" t="s">
        <v>16</v>
      </c>
      <c r="I757">
        <v>8313</v>
      </c>
      <c r="J757">
        <v>475503.6</v>
      </c>
    </row>
    <row r="758" spans="1:10" x14ac:dyDescent="0.3">
      <c r="A758">
        <v>757</v>
      </c>
      <c r="B758">
        <v>954092919</v>
      </c>
      <c r="C758" t="s">
        <v>13</v>
      </c>
      <c r="D758" t="s">
        <v>14</v>
      </c>
      <c r="E758" s="1">
        <v>42826</v>
      </c>
      <c r="F758">
        <f t="shared" si="11"/>
        <v>2</v>
      </c>
      <c r="G758" t="s">
        <v>51</v>
      </c>
      <c r="H758" t="s">
        <v>26</v>
      </c>
      <c r="I758">
        <v>6152</v>
      </c>
      <c r="J758">
        <v>388375.76</v>
      </c>
    </row>
    <row r="759" spans="1:10" x14ac:dyDescent="0.3">
      <c r="A759">
        <v>758</v>
      </c>
      <c r="B759">
        <v>479216182</v>
      </c>
      <c r="C759" t="s">
        <v>47</v>
      </c>
      <c r="D759" t="s">
        <v>14</v>
      </c>
      <c r="E759" s="1">
        <v>40634</v>
      </c>
      <c r="F759">
        <f t="shared" si="11"/>
        <v>2</v>
      </c>
      <c r="G759" t="s">
        <v>49</v>
      </c>
      <c r="H759" t="s">
        <v>19</v>
      </c>
      <c r="I759">
        <v>9572</v>
      </c>
      <c r="J759">
        <v>547518.4</v>
      </c>
    </row>
    <row r="760" spans="1:10" x14ac:dyDescent="0.3">
      <c r="A760">
        <v>759</v>
      </c>
      <c r="B760">
        <v>461768949</v>
      </c>
      <c r="C760" t="s">
        <v>43</v>
      </c>
      <c r="D760" t="s">
        <v>14</v>
      </c>
      <c r="E760" s="1">
        <v>40513</v>
      </c>
      <c r="F760">
        <f t="shared" si="11"/>
        <v>4</v>
      </c>
      <c r="G760" t="s">
        <v>53</v>
      </c>
      <c r="H760" t="s">
        <v>16</v>
      </c>
      <c r="I760">
        <v>6548</v>
      </c>
      <c r="J760">
        <v>164092.88</v>
      </c>
    </row>
    <row r="761" spans="1:10" x14ac:dyDescent="0.3">
      <c r="A761">
        <v>760</v>
      </c>
      <c r="B761">
        <v>251800048</v>
      </c>
      <c r="C761" t="s">
        <v>47</v>
      </c>
      <c r="D761" t="s">
        <v>14</v>
      </c>
      <c r="E761" s="1">
        <v>41760</v>
      </c>
      <c r="F761">
        <f t="shared" si="11"/>
        <v>2</v>
      </c>
      <c r="G761" t="s">
        <v>51</v>
      </c>
      <c r="H761" t="s">
        <v>26</v>
      </c>
      <c r="I761">
        <v>2085</v>
      </c>
      <c r="J761">
        <v>119262</v>
      </c>
    </row>
    <row r="762" spans="1:10" x14ac:dyDescent="0.3">
      <c r="A762">
        <v>761</v>
      </c>
      <c r="B762">
        <v>619670808</v>
      </c>
      <c r="C762" t="s">
        <v>43</v>
      </c>
      <c r="D762" t="s">
        <v>10</v>
      </c>
      <c r="E762" s="1">
        <v>41275</v>
      </c>
      <c r="F762">
        <f t="shared" si="11"/>
        <v>1</v>
      </c>
      <c r="G762" t="s">
        <v>33</v>
      </c>
      <c r="H762" t="s">
        <v>12</v>
      </c>
      <c r="I762">
        <v>3217</v>
      </c>
      <c r="J762">
        <v>80618.02</v>
      </c>
    </row>
    <row r="763" spans="1:10" x14ac:dyDescent="0.3">
      <c r="A763">
        <v>762</v>
      </c>
      <c r="B763">
        <v>606055057</v>
      </c>
      <c r="C763" t="s">
        <v>36</v>
      </c>
      <c r="D763" t="s">
        <v>10</v>
      </c>
      <c r="E763" s="1">
        <v>40513</v>
      </c>
      <c r="F763">
        <f t="shared" si="11"/>
        <v>4</v>
      </c>
      <c r="G763" t="s">
        <v>45</v>
      </c>
      <c r="H763" t="s">
        <v>12</v>
      </c>
      <c r="I763">
        <v>4014</v>
      </c>
      <c r="J763">
        <v>665240.22</v>
      </c>
    </row>
    <row r="764" spans="1:10" x14ac:dyDescent="0.3">
      <c r="A764">
        <v>763</v>
      </c>
      <c r="B764">
        <v>671939122</v>
      </c>
      <c r="C764" t="s">
        <v>17</v>
      </c>
      <c r="D764" t="s">
        <v>14</v>
      </c>
      <c r="E764" s="1">
        <v>41275</v>
      </c>
      <c r="F764">
        <f t="shared" si="11"/>
        <v>1</v>
      </c>
      <c r="G764" t="s">
        <v>56</v>
      </c>
      <c r="H764" t="s">
        <v>19</v>
      </c>
      <c r="I764">
        <v>573</v>
      </c>
      <c r="J764">
        <v>54927.78</v>
      </c>
    </row>
    <row r="765" spans="1:10" x14ac:dyDescent="0.3">
      <c r="A765">
        <v>764</v>
      </c>
      <c r="B765">
        <v>448621833</v>
      </c>
      <c r="C765" t="s">
        <v>9</v>
      </c>
      <c r="D765" t="s">
        <v>10</v>
      </c>
      <c r="E765" s="1">
        <v>41671</v>
      </c>
      <c r="F765">
        <f t="shared" si="11"/>
        <v>1</v>
      </c>
      <c r="G765" t="s">
        <v>38</v>
      </c>
      <c r="H765" t="s">
        <v>16</v>
      </c>
      <c r="I765">
        <v>6025</v>
      </c>
      <c r="J765">
        <v>1047566.75</v>
      </c>
    </row>
    <row r="766" spans="1:10" x14ac:dyDescent="0.3">
      <c r="A766">
        <v>765</v>
      </c>
      <c r="B766">
        <v>987714517</v>
      </c>
      <c r="C766" t="s">
        <v>24</v>
      </c>
      <c r="D766" t="s">
        <v>14</v>
      </c>
      <c r="E766" s="1">
        <v>42917</v>
      </c>
      <c r="F766">
        <f t="shared" si="11"/>
        <v>3</v>
      </c>
      <c r="G766" t="s">
        <v>25</v>
      </c>
      <c r="H766" t="s">
        <v>26</v>
      </c>
      <c r="I766">
        <v>5530</v>
      </c>
      <c r="J766">
        <v>13327.3</v>
      </c>
    </row>
    <row r="767" spans="1:10" x14ac:dyDescent="0.3">
      <c r="A767">
        <v>766</v>
      </c>
      <c r="B767">
        <v>711141002</v>
      </c>
      <c r="C767" t="s">
        <v>36</v>
      </c>
      <c r="D767" t="s">
        <v>14</v>
      </c>
      <c r="E767" s="1">
        <v>42491</v>
      </c>
      <c r="F767">
        <f t="shared" si="11"/>
        <v>2</v>
      </c>
      <c r="G767" t="s">
        <v>33</v>
      </c>
      <c r="H767" t="s">
        <v>12</v>
      </c>
      <c r="I767">
        <v>1280</v>
      </c>
      <c r="J767">
        <v>212134.39999999999</v>
      </c>
    </row>
    <row r="768" spans="1:10" x14ac:dyDescent="0.3">
      <c r="A768">
        <v>767</v>
      </c>
      <c r="B768">
        <v>361137616</v>
      </c>
      <c r="C768" t="s">
        <v>40</v>
      </c>
      <c r="D768" t="s">
        <v>14</v>
      </c>
      <c r="E768" s="1">
        <v>40969</v>
      </c>
      <c r="F768">
        <f t="shared" si="11"/>
        <v>1</v>
      </c>
      <c r="G768" t="s">
        <v>45</v>
      </c>
      <c r="H768" t="s">
        <v>12</v>
      </c>
      <c r="I768">
        <v>7501</v>
      </c>
      <c r="J768">
        <v>947001.25</v>
      </c>
    </row>
    <row r="769" spans="1:10" x14ac:dyDescent="0.3">
      <c r="A769">
        <v>768</v>
      </c>
      <c r="B769">
        <v>750253188</v>
      </c>
      <c r="C769" t="s">
        <v>36</v>
      </c>
      <c r="D769" t="s">
        <v>10</v>
      </c>
      <c r="E769" s="1">
        <v>40817</v>
      </c>
      <c r="F769">
        <f t="shared" si="11"/>
        <v>4</v>
      </c>
      <c r="G769" t="s">
        <v>39</v>
      </c>
      <c r="H769" t="s">
        <v>28</v>
      </c>
      <c r="I769">
        <v>5446</v>
      </c>
      <c r="J769">
        <v>902565.58</v>
      </c>
    </row>
    <row r="770" spans="1:10" x14ac:dyDescent="0.3">
      <c r="A770">
        <v>769</v>
      </c>
      <c r="B770">
        <v>511349046</v>
      </c>
      <c r="C770" t="s">
        <v>40</v>
      </c>
      <c r="D770" t="s">
        <v>14</v>
      </c>
      <c r="E770" s="1">
        <v>41974</v>
      </c>
      <c r="F770">
        <f t="shared" ref="F770:F833" si="12">ROUNDUP(MONTH(E770)/3,0)</f>
        <v>4</v>
      </c>
      <c r="G770" t="s">
        <v>35</v>
      </c>
      <c r="H770" t="s">
        <v>19</v>
      </c>
      <c r="I770">
        <v>8401</v>
      </c>
      <c r="J770">
        <v>1060626.25</v>
      </c>
    </row>
    <row r="771" spans="1:10" x14ac:dyDescent="0.3">
      <c r="A771">
        <v>770</v>
      </c>
      <c r="B771">
        <v>147599017</v>
      </c>
      <c r="C771" t="s">
        <v>43</v>
      </c>
      <c r="D771" t="s">
        <v>10</v>
      </c>
      <c r="E771" s="1">
        <v>40756</v>
      </c>
      <c r="F771">
        <f t="shared" si="12"/>
        <v>3</v>
      </c>
      <c r="G771" t="s">
        <v>46</v>
      </c>
      <c r="H771" t="s">
        <v>28</v>
      </c>
      <c r="I771">
        <v>6684</v>
      </c>
      <c r="J771">
        <v>167501.04</v>
      </c>
    </row>
    <row r="772" spans="1:10" x14ac:dyDescent="0.3">
      <c r="A772">
        <v>771</v>
      </c>
      <c r="B772">
        <v>682489430</v>
      </c>
      <c r="C772" t="s">
        <v>41</v>
      </c>
      <c r="D772" t="s">
        <v>14</v>
      </c>
      <c r="E772" s="1">
        <v>42095</v>
      </c>
      <c r="F772">
        <f t="shared" si="12"/>
        <v>2</v>
      </c>
      <c r="G772" t="s">
        <v>18</v>
      </c>
      <c r="H772" t="s">
        <v>19</v>
      </c>
      <c r="I772">
        <v>2644</v>
      </c>
      <c r="J772">
        <v>41405.040000000001</v>
      </c>
    </row>
    <row r="773" spans="1:10" x14ac:dyDescent="0.3">
      <c r="A773">
        <v>772</v>
      </c>
      <c r="B773">
        <v>509819114</v>
      </c>
      <c r="C773" t="s">
        <v>13</v>
      </c>
      <c r="D773" t="s">
        <v>10</v>
      </c>
      <c r="E773" s="1">
        <v>41640</v>
      </c>
      <c r="F773">
        <f t="shared" si="12"/>
        <v>1</v>
      </c>
      <c r="G773" t="s">
        <v>53</v>
      </c>
      <c r="H773" t="s">
        <v>16</v>
      </c>
      <c r="I773">
        <v>5660</v>
      </c>
      <c r="J773">
        <v>357315.8</v>
      </c>
    </row>
    <row r="774" spans="1:10" x14ac:dyDescent="0.3">
      <c r="A774">
        <v>773</v>
      </c>
      <c r="B774">
        <v>343699395</v>
      </c>
      <c r="C774" t="s">
        <v>40</v>
      </c>
      <c r="D774" t="s">
        <v>10</v>
      </c>
      <c r="E774" s="1">
        <v>40940</v>
      </c>
      <c r="F774">
        <f t="shared" si="12"/>
        <v>1</v>
      </c>
      <c r="G774" t="s">
        <v>38</v>
      </c>
      <c r="H774" t="s">
        <v>16</v>
      </c>
      <c r="I774">
        <v>7144</v>
      </c>
      <c r="J774">
        <v>901930</v>
      </c>
    </row>
    <row r="775" spans="1:10" x14ac:dyDescent="0.3">
      <c r="A775">
        <v>774</v>
      </c>
      <c r="B775">
        <v>968554103</v>
      </c>
      <c r="C775" t="s">
        <v>30</v>
      </c>
      <c r="D775" t="s">
        <v>10</v>
      </c>
      <c r="E775" s="1">
        <v>40634</v>
      </c>
      <c r="F775">
        <f t="shared" si="12"/>
        <v>2</v>
      </c>
      <c r="G775" t="s">
        <v>37</v>
      </c>
      <c r="H775" t="s">
        <v>26</v>
      </c>
      <c r="I775">
        <v>5537</v>
      </c>
      <c r="J775">
        <v>406637.28</v>
      </c>
    </row>
    <row r="776" spans="1:10" x14ac:dyDescent="0.3">
      <c r="A776">
        <v>775</v>
      </c>
      <c r="B776">
        <v>989119565</v>
      </c>
      <c r="C776" t="s">
        <v>41</v>
      </c>
      <c r="D776" t="s">
        <v>14</v>
      </c>
      <c r="E776" s="1">
        <v>41609</v>
      </c>
      <c r="F776">
        <f t="shared" si="12"/>
        <v>4</v>
      </c>
      <c r="G776" t="s">
        <v>37</v>
      </c>
      <c r="H776" t="s">
        <v>26</v>
      </c>
      <c r="I776">
        <v>1315</v>
      </c>
      <c r="J776">
        <v>20592.900000000001</v>
      </c>
    </row>
    <row r="777" spans="1:10" x14ac:dyDescent="0.3">
      <c r="A777">
        <v>776</v>
      </c>
      <c r="B777">
        <v>880444610</v>
      </c>
      <c r="C777" t="s">
        <v>13</v>
      </c>
      <c r="D777" t="s">
        <v>10</v>
      </c>
      <c r="E777" s="1">
        <v>41153</v>
      </c>
      <c r="F777">
        <f t="shared" si="12"/>
        <v>3</v>
      </c>
      <c r="G777" t="s">
        <v>15</v>
      </c>
      <c r="H777" t="s">
        <v>16</v>
      </c>
      <c r="I777">
        <v>1980</v>
      </c>
      <c r="J777">
        <v>124997.4</v>
      </c>
    </row>
    <row r="778" spans="1:10" x14ac:dyDescent="0.3">
      <c r="A778">
        <v>777</v>
      </c>
      <c r="B778">
        <v>737890565</v>
      </c>
      <c r="C778" t="s">
        <v>13</v>
      </c>
      <c r="D778" t="s">
        <v>10</v>
      </c>
      <c r="E778" s="1">
        <v>42339</v>
      </c>
      <c r="F778">
        <f t="shared" si="12"/>
        <v>4</v>
      </c>
      <c r="G778" t="s">
        <v>42</v>
      </c>
      <c r="H778" t="s">
        <v>26</v>
      </c>
      <c r="I778">
        <v>7071</v>
      </c>
      <c r="J778">
        <v>446392.23</v>
      </c>
    </row>
    <row r="779" spans="1:10" x14ac:dyDescent="0.3">
      <c r="A779">
        <v>778</v>
      </c>
      <c r="B779">
        <v>727131259</v>
      </c>
      <c r="C779" t="s">
        <v>13</v>
      </c>
      <c r="D779" t="s">
        <v>14</v>
      </c>
      <c r="E779" s="1">
        <v>41791</v>
      </c>
      <c r="F779">
        <f t="shared" si="12"/>
        <v>2</v>
      </c>
      <c r="G779" t="s">
        <v>51</v>
      </c>
      <c r="H779" t="s">
        <v>26</v>
      </c>
      <c r="I779">
        <v>3153</v>
      </c>
      <c r="J779">
        <v>199048.89</v>
      </c>
    </row>
    <row r="780" spans="1:10" x14ac:dyDescent="0.3">
      <c r="A780">
        <v>779</v>
      </c>
      <c r="B780">
        <v>634153020</v>
      </c>
      <c r="C780" t="s">
        <v>40</v>
      </c>
      <c r="D780" t="s">
        <v>10</v>
      </c>
      <c r="E780" s="1">
        <v>42064</v>
      </c>
      <c r="F780">
        <f t="shared" si="12"/>
        <v>1</v>
      </c>
      <c r="G780" t="s">
        <v>50</v>
      </c>
      <c r="H780" t="s">
        <v>16</v>
      </c>
      <c r="I780">
        <v>8826</v>
      </c>
      <c r="J780">
        <v>1114282.5</v>
      </c>
    </row>
    <row r="781" spans="1:10" x14ac:dyDescent="0.3">
      <c r="A781">
        <v>780</v>
      </c>
      <c r="B781">
        <v>315254676</v>
      </c>
      <c r="C781" t="s">
        <v>41</v>
      </c>
      <c r="D781" t="s">
        <v>14</v>
      </c>
      <c r="E781" s="1">
        <v>41852</v>
      </c>
      <c r="F781">
        <f t="shared" si="12"/>
        <v>3</v>
      </c>
      <c r="G781" t="s">
        <v>49</v>
      </c>
      <c r="H781" t="s">
        <v>19</v>
      </c>
      <c r="I781">
        <v>9719</v>
      </c>
      <c r="J781">
        <v>152199.54</v>
      </c>
    </row>
    <row r="782" spans="1:10" x14ac:dyDescent="0.3">
      <c r="A782">
        <v>781</v>
      </c>
      <c r="B782">
        <v>147047555</v>
      </c>
      <c r="C782" t="s">
        <v>43</v>
      </c>
      <c r="D782" t="s">
        <v>10</v>
      </c>
      <c r="E782" s="1">
        <v>40360</v>
      </c>
      <c r="F782">
        <f t="shared" si="12"/>
        <v>3</v>
      </c>
      <c r="G782" t="s">
        <v>57</v>
      </c>
      <c r="H782" t="s">
        <v>16</v>
      </c>
      <c r="I782">
        <v>3494</v>
      </c>
      <c r="J782">
        <v>87559.64</v>
      </c>
    </row>
    <row r="783" spans="1:10" x14ac:dyDescent="0.3">
      <c r="A783">
        <v>782</v>
      </c>
      <c r="B783">
        <v>576455485</v>
      </c>
      <c r="C783" t="s">
        <v>36</v>
      </c>
      <c r="D783" t="s">
        <v>14</v>
      </c>
      <c r="E783" s="1">
        <v>41275</v>
      </c>
      <c r="F783">
        <f t="shared" si="12"/>
        <v>1</v>
      </c>
      <c r="G783" t="s">
        <v>56</v>
      </c>
      <c r="H783" t="s">
        <v>19</v>
      </c>
      <c r="I783">
        <v>4843</v>
      </c>
      <c r="J783">
        <v>802630.39</v>
      </c>
    </row>
    <row r="784" spans="1:10" x14ac:dyDescent="0.3">
      <c r="A784">
        <v>783</v>
      </c>
      <c r="B784">
        <v>770714795</v>
      </c>
      <c r="C784" t="s">
        <v>34</v>
      </c>
      <c r="D784" t="s">
        <v>10</v>
      </c>
      <c r="E784" s="1">
        <v>40360</v>
      </c>
      <c r="F784">
        <f t="shared" si="12"/>
        <v>3</v>
      </c>
      <c r="G784" t="s">
        <v>11</v>
      </c>
      <c r="H784" t="s">
        <v>12</v>
      </c>
      <c r="I784">
        <v>490</v>
      </c>
      <c r="J784">
        <v>27018.6</v>
      </c>
    </row>
    <row r="785" spans="1:10" x14ac:dyDescent="0.3">
      <c r="A785">
        <v>784</v>
      </c>
      <c r="B785">
        <v>867374312</v>
      </c>
      <c r="C785" t="s">
        <v>9</v>
      </c>
      <c r="D785" t="s">
        <v>10</v>
      </c>
      <c r="E785" s="1">
        <v>40725</v>
      </c>
      <c r="F785">
        <f t="shared" si="12"/>
        <v>3</v>
      </c>
      <c r="G785" t="s">
        <v>33</v>
      </c>
      <c r="H785" t="s">
        <v>12</v>
      </c>
      <c r="I785">
        <v>4189</v>
      </c>
      <c r="J785">
        <v>728341.43</v>
      </c>
    </row>
    <row r="786" spans="1:10" x14ac:dyDescent="0.3">
      <c r="A786">
        <v>785</v>
      </c>
      <c r="B786">
        <v>624295365</v>
      </c>
      <c r="C786" t="s">
        <v>24</v>
      </c>
      <c r="D786" t="s">
        <v>14</v>
      </c>
      <c r="E786" s="1">
        <v>40299</v>
      </c>
      <c r="F786">
        <f t="shared" si="12"/>
        <v>2</v>
      </c>
      <c r="G786" t="s">
        <v>44</v>
      </c>
      <c r="H786" t="s">
        <v>26</v>
      </c>
      <c r="I786">
        <v>1727</v>
      </c>
      <c r="J786">
        <v>4162.07</v>
      </c>
    </row>
    <row r="787" spans="1:10" x14ac:dyDescent="0.3">
      <c r="A787">
        <v>786</v>
      </c>
      <c r="B787">
        <v>769651782</v>
      </c>
      <c r="C787" t="s">
        <v>30</v>
      </c>
      <c r="D787" t="s">
        <v>10</v>
      </c>
      <c r="E787" s="1">
        <v>41548</v>
      </c>
      <c r="F787">
        <f t="shared" si="12"/>
        <v>4</v>
      </c>
      <c r="G787" t="s">
        <v>50</v>
      </c>
      <c r="H787" t="s">
        <v>16</v>
      </c>
      <c r="I787">
        <v>5921</v>
      </c>
      <c r="J787">
        <v>434838.24</v>
      </c>
    </row>
    <row r="788" spans="1:10" x14ac:dyDescent="0.3">
      <c r="A788">
        <v>787</v>
      </c>
      <c r="B788">
        <v>751929891</v>
      </c>
      <c r="C788" t="s">
        <v>13</v>
      </c>
      <c r="D788" t="s">
        <v>14</v>
      </c>
      <c r="E788" s="1">
        <v>41821</v>
      </c>
      <c r="F788">
        <f t="shared" si="12"/>
        <v>3</v>
      </c>
      <c r="G788" t="s">
        <v>50</v>
      </c>
      <c r="H788" t="s">
        <v>16</v>
      </c>
      <c r="I788">
        <v>1619</v>
      </c>
      <c r="J788">
        <v>102207.47</v>
      </c>
    </row>
    <row r="789" spans="1:10" x14ac:dyDescent="0.3">
      <c r="A789">
        <v>788</v>
      </c>
      <c r="B789">
        <v>989928519</v>
      </c>
      <c r="C789" t="s">
        <v>40</v>
      </c>
      <c r="D789" t="s">
        <v>14</v>
      </c>
      <c r="E789" s="1">
        <v>40269</v>
      </c>
      <c r="F789">
        <f t="shared" si="12"/>
        <v>2</v>
      </c>
      <c r="G789" t="s">
        <v>32</v>
      </c>
      <c r="H789" t="s">
        <v>26</v>
      </c>
      <c r="I789">
        <v>702</v>
      </c>
      <c r="J789">
        <v>88627.5</v>
      </c>
    </row>
    <row r="790" spans="1:10" x14ac:dyDescent="0.3">
      <c r="A790">
        <v>789</v>
      </c>
      <c r="B790">
        <v>622758996</v>
      </c>
      <c r="C790" t="s">
        <v>47</v>
      </c>
      <c r="D790" t="s">
        <v>10</v>
      </c>
      <c r="E790" s="1">
        <v>41852</v>
      </c>
      <c r="F790">
        <f t="shared" si="12"/>
        <v>3</v>
      </c>
      <c r="G790" t="s">
        <v>33</v>
      </c>
      <c r="H790" t="s">
        <v>12</v>
      </c>
      <c r="I790">
        <v>7081</v>
      </c>
      <c r="J790">
        <v>405033.2</v>
      </c>
    </row>
    <row r="791" spans="1:10" x14ac:dyDescent="0.3">
      <c r="A791">
        <v>790</v>
      </c>
      <c r="B791">
        <v>659845149</v>
      </c>
      <c r="C791" t="s">
        <v>17</v>
      </c>
      <c r="D791" t="s">
        <v>14</v>
      </c>
      <c r="E791" s="1">
        <v>42370</v>
      </c>
      <c r="F791">
        <f t="shared" si="12"/>
        <v>1</v>
      </c>
      <c r="G791" t="s">
        <v>32</v>
      </c>
      <c r="H791" t="s">
        <v>26</v>
      </c>
      <c r="I791">
        <v>1698</v>
      </c>
      <c r="J791">
        <v>162770.28</v>
      </c>
    </row>
    <row r="792" spans="1:10" x14ac:dyDescent="0.3">
      <c r="A792">
        <v>791</v>
      </c>
      <c r="B792">
        <v>830923306</v>
      </c>
      <c r="C792" t="s">
        <v>17</v>
      </c>
      <c r="D792" t="s">
        <v>10</v>
      </c>
      <c r="E792" s="1">
        <v>40664</v>
      </c>
      <c r="F792">
        <f t="shared" si="12"/>
        <v>2</v>
      </c>
      <c r="G792" t="s">
        <v>21</v>
      </c>
      <c r="H792" t="s">
        <v>19</v>
      </c>
      <c r="I792">
        <v>7526</v>
      </c>
      <c r="J792">
        <v>721442.36</v>
      </c>
    </row>
    <row r="793" spans="1:10" x14ac:dyDescent="0.3">
      <c r="A793">
        <v>792</v>
      </c>
      <c r="B793">
        <v>936042296</v>
      </c>
      <c r="C793" t="s">
        <v>41</v>
      </c>
      <c r="D793" t="s">
        <v>10</v>
      </c>
      <c r="E793" s="1">
        <v>40210</v>
      </c>
      <c r="F793">
        <f t="shared" si="12"/>
        <v>1</v>
      </c>
      <c r="G793" t="s">
        <v>25</v>
      </c>
      <c r="H793" t="s">
        <v>26</v>
      </c>
      <c r="I793">
        <v>4571</v>
      </c>
      <c r="J793">
        <v>71581.86</v>
      </c>
    </row>
    <row r="794" spans="1:10" x14ac:dyDescent="0.3">
      <c r="A794">
        <v>793</v>
      </c>
      <c r="B794">
        <v>395563447</v>
      </c>
      <c r="C794" t="s">
        <v>36</v>
      </c>
      <c r="D794" t="s">
        <v>14</v>
      </c>
      <c r="E794" s="1">
        <v>42036</v>
      </c>
      <c r="F794">
        <f t="shared" si="12"/>
        <v>1</v>
      </c>
      <c r="G794" t="s">
        <v>53</v>
      </c>
      <c r="H794" t="s">
        <v>16</v>
      </c>
      <c r="I794">
        <v>4869</v>
      </c>
      <c r="J794">
        <v>806939.37</v>
      </c>
    </row>
    <row r="795" spans="1:10" x14ac:dyDescent="0.3">
      <c r="A795">
        <v>794</v>
      </c>
      <c r="B795">
        <v>500160586</v>
      </c>
      <c r="C795" t="s">
        <v>47</v>
      </c>
      <c r="D795" t="s">
        <v>10</v>
      </c>
      <c r="E795" s="1">
        <v>40695</v>
      </c>
      <c r="F795">
        <f t="shared" si="12"/>
        <v>2</v>
      </c>
      <c r="G795" t="s">
        <v>56</v>
      </c>
      <c r="H795" t="s">
        <v>19</v>
      </c>
      <c r="I795">
        <v>7487</v>
      </c>
      <c r="J795">
        <v>428256.4</v>
      </c>
    </row>
    <row r="796" spans="1:10" x14ac:dyDescent="0.3">
      <c r="A796">
        <v>795</v>
      </c>
      <c r="B796">
        <v>360820043</v>
      </c>
      <c r="C796" t="s">
        <v>24</v>
      </c>
      <c r="D796" t="s">
        <v>14</v>
      </c>
      <c r="E796" s="1">
        <v>42125</v>
      </c>
      <c r="F796">
        <f t="shared" si="12"/>
        <v>2</v>
      </c>
      <c r="G796" t="s">
        <v>32</v>
      </c>
      <c r="H796" t="s">
        <v>26</v>
      </c>
      <c r="I796">
        <v>3524</v>
      </c>
      <c r="J796">
        <v>8492.84</v>
      </c>
    </row>
    <row r="797" spans="1:10" x14ac:dyDescent="0.3">
      <c r="A797">
        <v>796</v>
      </c>
      <c r="B797">
        <v>958840644</v>
      </c>
      <c r="C797" t="s">
        <v>34</v>
      </c>
      <c r="D797" t="s">
        <v>14</v>
      </c>
      <c r="E797" s="1">
        <v>40299</v>
      </c>
      <c r="F797">
        <f t="shared" si="12"/>
        <v>2</v>
      </c>
      <c r="G797" t="s">
        <v>32</v>
      </c>
      <c r="H797" t="s">
        <v>26</v>
      </c>
      <c r="I797">
        <v>1109</v>
      </c>
      <c r="J797">
        <v>61150.26</v>
      </c>
    </row>
    <row r="798" spans="1:10" x14ac:dyDescent="0.3">
      <c r="A798">
        <v>797</v>
      </c>
      <c r="B798">
        <v>195833718</v>
      </c>
      <c r="C798" t="s">
        <v>17</v>
      </c>
      <c r="D798" t="s">
        <v>14</v>
      </c>
      <c r="E798" s="1">
        <v>40575</v>
      </c>
      <c r="F798">
        <f t="shared" si="12"/>
        <v>1</v>
      </c>
      <c r="G798" t="s">
        <v>45</v>
      </c>
      <c r="H798" t="s">
        <v>12</v>
      </c>
      <c r="I798">
        <v>404</v>
      </c>
      <c r="J798">
        <v>38727.440000000002</v>
      </c>
    </row>
    <row r="799" spans="1:10" x14ac:dyDescent="0.3">
      <c r="A799">
        <v>798</v>
      </c>
      <c r="B799">
        <v>543723094</v>
      </c>
      <c r="C799" t="s">
        <v>43</v>
      </c>
      <c r="D799" t="s">
        <v>10</v>
      </c>
      <c r="E799" s="1">
        <v>41791</v>
      </c>
      <c r="F799">
        <f t="shared" si="12"/>
        <v>2</v>
      </c>
      <c r="G799" t="s">
        <v>42</v>
      </c>
      <c r="H799" t="s">
        <v>26</v>
      </c>
      <c r="I799">
        <v>8601</v>
      </c>
      <c r="J799">
        <v>215541.06</v>
      </c>
    </row>
    <row r="800" spans="1:10" x14ac:dyDescent="0.3">
      <c r="A800">
        <v>799</v>
      </c>
      <c r="B800">
        <v>494745099</v>
      </c>
      <c r="C800" t="s">
        <v>9</v>
      </c>
      <c r="D800" t="s">
        <v>10</v>
      </c>
      <c r="E800" s="1">
        <v>40452</v>
      </c>
      <c r="F800">
        <f t="shared" si="12"/>
        <v>4</v>
      </c>
      <c r="G800" t="s">
        <v>44</v>
      </c>
      <c r="H800" t="s">
        <v>26</v>
      </c>
      <c r="I800">
        <v>4924</v>
      </c>
      <c r="J800">
        <v>856135.88</v>
      </c>
    </row>
    <row r="801" spans="1:10" x14ac:dyDescent="0.3">
      <c r="A801">
        <v>800</v>
      </c>
      <c r="B801">
        <v>411448562</v>
      </c>
      <c r="C801" t="s">
        <v>13</v>
      </c>
      <c r="D801" t="s">
        <v>14</v>
      </c>
      <c r="E801" s="1">
        <v>40299</v>
      </c>
      <c r="F801">
        <f t="shared" si="12"/>
        <v>2</v>
      </c>
      <c r="G801" t="s">
        <v>58</v>
      </c>
      <c r="H801" t="s">
        <v>26</v>
      </c>
      <c r="I801">
        <v>5628</v>
      </c>
      <c r="J801">
        <v>355295.64</v>
      </c>
    </row>
    <row r="802" spans="1:10" x14ac:dyDescent="0.3">
      <c r="A802">
        <v>801</v>
      </c>
      <c r="B802">
        <v>276694810</v>
      </c>
      <c r="C802" t="s">
        <v>43</v>
      </c>
      <c r="D802" t="s">
        <v>10</v>
      </c>
      <c r="E802" s="1">
        <v>42767</v>
      </c>
      <c r="F802">
        <f t="shared" si="12"/>
        <v>1</v>
      </c>
      <c r="G802" t="s">
        <v>44</v>
      </c>
      <c r="H802" t="s">
        <v>26</v>
      </c>
      <c r="I802">
        <v>8998</v>
      </c>
      <c r="J802">
        <v>225489.88</v>
      </c>
    </row>
    <row r="803" spans="1:10" x14ac:dyDescent="0.3">
      <c r="A803">
        <v>802</v>
      </c>
      <c r="B803">
        <v>143657672</v>
      </c>
      <c r="C803" t="s">
        <v>40</v>
      </c>
      <c r="D803" t="s">
        <v>10</v>
      </c>
      <c r="E803" s="1">
        <v>42675</v>
      </c>
      <c r="F803">
        <f t="shared" si="12"/>
        <v>4</v>
      </c>
      <c r="G803" t="s">
        <v>25</v>
      </c>
      <c r="H803" t="s">
        <v>26</v>
      </c>
      <c r="I803">
        <v>352</v>
      </c>
      <c r="J803">
        <v>44440</v>
      </c>
    </row>
    <row r="804" spans="1:10" x14ac:dyDescent="0.3">
      <c r="A804">
        <v>803</v>
      </c>
      <c r="B804">
        <v>585823476</v>
      </c>
      <c r="C804" t="s">
        <v>17</v>
      </c>
      <c r="D804" t="s">
        <v>14</v>
      </c>
      <c r="E804" s="1">
        <v>40878</v>
      </c>
      <c r="F804">
        <f t="shared" si="12"/>
        <v>4</v>
      </c>
      <c r="G804" t="s">
        <v>46</v>
      </c>
      <c r="H804" t="s">
        <v>28</v>
      </c>
      <c r="I804">
        <v>7040</v>
      </c>
      <c r="J804">
        <v>674854.40000000002</v>
      </c>
    </row>
    <row r="805" spans="1:10" x14ac:dyDescent="0.3">
      <c r="A805">
        <v>804</v>
      </c>
      <c r="B805">
        <v>446991050</v>
      </c>
      <c r="C805" t="s">
        <v>30</v>
      </c>
      <c r="D805" t="s">
        <v>14</v>
      </c>
      <c r="E805" s="1">
        <v>42705</v>
      </c>
      <c r="F805">
        <f t="shared" si="12"/>
        <v>4</v>
      </c>
      <c r="G805" t="s">
        <v>39</v>
      </c>
      <c r="H805" t="s">
        <v>28</v>
      </c>
      <c r="I805">
        <v>3440</v>
      </c>
      <c r="J805">
        <v>252633.60000000001</v>
      </c>
    </row>
    <row r="806" spans="1:10" x14ac:dyDescent="0.3">
      <c r="A806">
        <v>805</v>
      </c>
      <c r="B806">
        <v>891271722</v>
      </c>
      <c r="C806" t="s">
        <v>30</v>
      </c>
      <c r="D806" t="s">
        <v>10</v>
      </c>
      <c r="E806" s="1">
        <v>42767</v>
      </c>
      <c r="F806">
        <f t="shared" si="12"/>
        <v>1</v>
      </c>
      <c r="G806" t="s">
        <v>35</v>
      </c>
      <c r="H806" t="s">
        <v>19</v>
      </c>
      <c r="I806">
        <v>5963</v>
      </c>
      <c r="J806">
        <v>437922.72</v>
      </c>
    </row>
    <row r="807" spans="1:10" x14ac:dyDescent="0.3">
      <c r="A807">
        <v>806</v>
      </c>
      <c r="B807">
        <v>453089320</v>
      </c>
      <c r="C807" t="s">
        <v>9</v>
      </c>
      <c r="D807" t="s">
        <v>14</v>
      </c>
      <c r="E807" s="1">
        <v>40299</v>
      </c>
      <c r="F807">
        <f t="shared" si="12"/>
        <v>2</v>
      </c>
      <c r="G807" t="s">
        <v>15</v>
      </c>
      <c r="H807" t="s">
        <v>16</v>
      </c>
      <c r="I807">
        <v>8053</v>
      </c>
      <c r="J807">
        <v>1400175.11</v>
      </c>
    </row>
    <row r="808" spans="1:10" x14ac:dyDescent="0.3">
      <c r="A808">
        <v>807</v>
      </c>
      <c r="B808">
        <v>887180173</v>
      </c>
      <c r="C808" t="s">
        <v>17</v>
      </c>
      <c r="D808" t="s">
        <v>10</v>
      </c>
      <c r="E808" s="1">
        <v>40422</v>
      </c>
      <c r="F808">
        <f t="shared" si="12"/>
        <v>3</v>
      </c>
      <c r="G808" t="s">
        <v>46</v>
      </c>
      <c r="H808" t="s">
        <v>28</v>
      </c>
      <c r="I808">
        <v>5183</v>
      </c>
      <c r="J808">
        <v>496842.38</v>
      </c>
    </row>
    <row r="809" spans="1:10" x14ac:dyDescent="0.3">
      <c r="A809">
        <v>808</v>
      </c>
      <c r="B809">
        <v>418593108</v>
      </c>
      <c r="C809" t="s">
        <v>9</v>
      </c>
      <c r="D809" t="s">
        <v>14</v>
      </c>
      <c r="E809" s="1">
        <v>41699</v>
      </c>
      <c r="F809">
        <f t="shared" si="12"/>
        <v>1</v>
      </c>
      <c r="G809" t="s">
        <v>48</v>
      </c>
      <c r="H809" t="s">
        <v>16</v>
      </c>
      <c r="I809">
        <v>9858</v>
      </c>
      <c r="J809">
        <v>1714010.46</v>
      </c>
    </row>
    <row r="810" spans="1:10" x14ac:dyDescent="0.3">
      <c r="A810">
        <v>809</v>
      </c>
      <c r="B810">
        <v>492689454</v>
      </c>
      <c r="C810" t="s">
        <v>43</v>
      </c>
      <c r="D810" t="s">
        <v>14</v>
      </c>
      <c r="E810" s="1">
        <v>40360</v>
      </c>
      <c r="F810">
        <f t="shared" si="12"/>
        <v>3</v>
      </c>
      <c r="G810" t="s">
        <v>56</v>
      </c>
      <c r="H810" t="s">
        <v>19</v>
      </c>
      <c r="I810">
        <v>6613</v>
      </c>
      <c r="J810">
        <v>165721.78</v>
      </c>
    </row>
    <row r="811" spans="1:10" x14ac:dyDescent="0.3">
      <c r="A811">
        <v>810</v>
      </c>
      <c r="B811">
        <v>825143039</v>
      </c>
      <c r="C811" t="s">
        <v>9</v>
      </c>
      <c r="D811" t="s">
        <v>14</v>
      </c>
      <c r="E811" s="1">
        <v>42705</v>
      </c>
      <c r="F811">
        <f t="shared" si="12"/>
        <v>4</v>
      </c>
      <c r="G811" t="s">
        <v>39</v>
      </c>
      <c r="H811" t="s">
        <v>28</v>
      </c>
      <c r="I811">
        <v>7017</v>
      </c>
      <c r="J811">
        <v>1220045.79</v>
      </c>
    </row>
    <row r="812" spans="1:10" x14ac:dyDescent="0.3">
      <c r="A812">
        <v>811</v>
      </c>
      <c r="B812">
        <v>751940190</v>
      </c>
      <c r="C812" t="s">
        <v>13</v>
      </c>
      <c r="D812" t="s">
        <v>14</v>
      </c>
      <c r="E812" s="1">
        <v>41548</v>
      </c>
      <c r="F812">
        <f t="shared" si="12"/>
        <v>4</v>
      </c>
      <c r="G812" t="s">
        <v>44</v>
      </c>
      <c r="H812" t="s">
        <v>26</v>
      </c>
      <c r="I812">
        <v>4667</v>
      </c>
      <c r="J812">
        <v>294627.71000000002</v>
      </c>
    </row>
    <row r="813" spans="1:10" x14ac:dyDescent="0.3">
      <c r="A813">
        <v>812</v>
      </c>
      <c r="B813">
        <v>579379737</v>
      </c>
      <c r="C813" t="s">
        <v>17</v>
      </c>
      <c r="D813" t="s">
        <v>10</v>
      </c>
      <c r="E813" s="1">
        <v>42583</v>
      </c>
      <c r="F813">
        <f t="shared" si="12"/>
        <v>3</v>
      </c>
      <c r="G813" t="s">
        <v>11</v>
      </c>
      <c r="H813" t="s">
        <v>12</v>
      </c>
      <c r="I813">
        <v>194</v>
      </c>
      <c r="J813">
        <v>18596.84</v>
      </c>
    </row>
    <row r="814" spans="1:10" x14ac:dyDescent="0.3">
      <c r="A814">
        <v>813</v>
      </c>
      <c r="B814">
        <v>234073007</v>
      </c>
      <c r="C814" t="s">
        <v>47</v>
      </c>
      <c r="D814" t="s">
        <v>14</v>
      </c>
      <c r="E814" s="1">
        <v>40817</v>
      </c>
      <c r="F814">
        <f t="shared" si="12"/>
        <v>4</v>
      </c>
      <c r="G814" t="s">
        <v>11</v>
      </c>
      <c r="H814" t="s">
        <v>12</v>
      </c>
      <c r="I814">
        <v>6259</v>
      </c>
      <c r="J814">
        <v>358014.8</v>
      </c>
    </row>
    <row r="815" spans="1:10" x14ac:dyDescent="0.3">
      <c r="A815">
        <v>814</v>
      </c>
      <c r="B815">
        <v>612943828</v>
      </c>
      <c r="C815" t="s">
        <v>47</v>
      </c>
      <c r="D815" t="s">
        <v>14</v>
      </c>
      <c r="E815" s="1">
        <v>41306</v>
      </c>
      <c r="F815">
        <f t="shared" si="12"/>
        <v>1</v>
      </c>
      <c r="G815" t="s">
        <v>57</v>
      </c>
      <c r="H815" t="s">
        <v>16</v>
      </c>
      <c r="I815">
        <v>2554</v>
      </c>
      <c r="J815">
        <v>146088.79999999999</v>
      </c>
    </row>
    <row r="816" spans="1:10" x14ac:dyDescent="0.3">
      <c r="A816">
        <v>815</v>
      </c>
      <c r="B816">
        <v>433228528</v>
      </c>
      <c r="C816" t="s">
        <v>24</v>
      </c>
      <c r="D816" t="s">
        <v>14</v>
      </c>
      <c r="E816" s="1">
        <v>41244</v>
      </c>
      <c r="F816">
        <f t="shared" si="12"/>
        <v>4</v>
      </c>
      <c r="G816" t="s">
        <v>48</v>
      </c>
      <c r="H816" t="s">
        <v>16</v>
      </c>
      <c r="I816">
        <v>804</v>
      </c>
      <c r="J816">
        <v>1937.64</v>
      </c>
    </row>
    <row r="817" spans="1:10" x14ac:dyDescent="0.3">
      <c r="A817">
        <v>816</v>
      </c>
      <c r="B817">
        <v>282475936</v>
      </c>
      <c r="C817" t="s">
        <v>24</v>
      </c>
      <c r="D817" t="s">
        <v>14</v>
      </c>
      <c r="E817" s="1">
        <v>42309</v>
      </c>
      <c r="F817">
        <f t="shared" si="12"/>
        <v>4</v>
      </c>
      <c r="G817" t="s">
        <v>49</v>
      </c>
      <c r="H817" t="s">
        <v>19</v>
      </c>
      <c r="I817">
        <v>9762</v>
      </c>
      <c r="J817">
        <v>23526.42</v>
      </c>
    </row>
    <row r="818" spans="1:10" x14ac:dyDescent="0.3">
      <c r="A818">
        <v>817</v>
      </c>
      <c r="B818">
        <v>368547379</v>
      </c>
      <c r="C818" t="s">
        <v>47</v>
      </c>
      <c r="D818" t="s">
        <v>14</v>
      </c>
      <c r="E818" s="1">
        <v>41091</v>
      </c>
      <c r="F818">
        <f t="shared" si="12"/>
        <v>3</v>
      </c>
      <c r="G818" t="s">
        <v>59</v>
      </c>
      <c r="H818" t="s">
        <v>19</v>
      </c>
      <c r="I818">
        <v>214</v>
      </c>
      <c r="J818">
        <v>12240.8</v>
      </c>
    </row>
    <row r="819" spans="1:10" x14ac:dyDescent="0.3">
      <c r="A819">
        <v>818</v>
      </c>
      <c r="B819">
        <v>969616687</v>
      </c>
      <c r="C819" t="s">
        <v>47</v>
      </c>
      <c r="D819" t="s">
        <v>10</v>
      </c>
      <c r="E819" s="1">
        <v>41426</v>
      </c>
      <c r="F819">
        <f t="shared" si="12"/>
        <v>2</v>
      </c>
      <c r="G819" t="s">
        <v>31</v>
      </c>
      <c r="H819" t="s">
        <v>19</v>
      </c>
      <c r="I819">
        <v>9980</v>
      </c>
      <c r="J819">
        <v>570856</v>
      </c>
    </row>
    <row r="820" spans="1:10" x14ac:dyDescent="0.3">
      <c r="A820">
        <v>819</v>
      </c>
      <c r="B820">
        <v>184170186</v>
      </c>
      <c r="C820" t="s">
        <v>17</v>
      </c>
      <c r="D820" t="s">
        <v>14</v>
      </c>
      <c r="E820" s="1">
        <v>42036</v>
      </c>
      <c r="F820">
        <f t="shared" si="12"/>
        <v>1</v>
      </c>
      <c r="G820" t="s">
        <v>45</v>
      </c>
      <c r="H820" t="s">
        <v>12</v>
      </c>
      <c r="I820">
        <v>8906</v>
      </c>
      <c r="J820">
        <v>853729.16</v>
      </c>
    </row>
    <row r="821" spans="1:10" x14ac:dyDescent="0.3">
      <c r="A821">
        <v>820</v>
      </c>
      <c r="B821">
        <v>681006705</v>
      </c>
      <c r="C821" t="s">
        <v>24</v>
      </c>
      <c r="D821" t="s">
        <v>14</v>
      </c>
      <c r="E821" s="1">
        <v>40634</v>
      </c>
      <c r="F821">
        <f t="shared" si="12"/>
        <v>2</v>
      </c>
      <c r="G821" t="s">
        <v>21</v>
      </c>
      <c r="H821" t="s">
        <v>19</v>
      </c>
      <c r="I821">
        <v>3872</v>
      </c>
      <c r="J821">
        <v>9331.52</v>
      </c>
    </row>
    <row r="822" spans="1:10" x14ac:dyDescent="0.3">
      <c r="A822">
        <v>821</v>
      </c>
      <c r="B822">
        <v>249237573</v>
      </c>
      <c r="C822" t="s">
        <v>17</v>
      </c>
      <c r="D822" t="s">
        <v>14</v>
      </c>
      <c r="E822" s="1">
        <v>40940</v>
      </c>
      <c r="F822">
        <f t="shared" si="12"/>
        <v>1</v>
      </c>
      <c r="G822" t="s">
        <v>18</v>
      </c>
      <c r="H822" t="s">
        <v>19</v>
      </c>
      <c r="I822">
        <v>3791</v>
      </c>
      <c r="J822">
        <v>363405.26</v>
      </c>
    </row>
    <row r="823" spans="1:10" x14ac:dyDescent="0.3">
      <c r="A823">
        <v>822</v>
      </c>
      <c r="B823">
        <v>348286616</v>
      </c>
      <c r="C823" t="s">
        <v>13</v>
      </c>
      <c r="D823" t="s">
        <v>10</v>
      </c>
      <c r="E823" s="1">
        <v>42736</v>
      </c>
      <c r="F823">
        <f t="shared" si="12"/>
        <v>1</v>
      </c>
      <c r="G823" t="s">
        <v>56</v>
      </c>
      <c r="H823" t="s">
        <v>19</v>
      </c>
      <c r="I823">
        <v>4604</v>
      </c>
      <c r="J823">
        <v>290650.52</v>
      </c>
    </row>
    <row r="824" spans="1:10" x14ac:dyDescent="0.3">
      <c r="A824">
        <v>823</v>
      </c>
      <c r="B824">
        <v>257890164</v>
      </c>
      <c r="C824" t="s">
        <v>30</v>
      </c>
      <c r="D824" t="s">
        <v>10</v>
      </c>
      <c r="E824" s="1">
        <v>40878</v>
      </c>
      <c r="F824">
        <f t="shared" si="12"/>
        <v>4</v>
      </c>
      <c r="G824" t="s">
        <v>15</v>
      </c>
      <c r="H824" t="s">
        <v>16</v>
      </c>
      <c r="I824">
        <v>4285</v>
      </c>
      <c r="J824">
        <v>314690.40000000002</v>
      </c>
    </row>
    <row r="825" spans="1:10" x14ac:dyDescent="0.3">
      <c r="A825">
        <v>824</v>
      </c>
      <c r="B825">
        <v>228097045</v>
      </c>
      <c r="C825" t="s">
        <v>9</v>
      </c>
      <c r="D825" t="s">
        <v>14</v>
      </c>
      <c r="E825" s="1">
        <v>42856</v>
      </c>
      <c r="F825">
        <f t="shared" si="12"/>
        <v>2</v>
      </c>
      <c r="G825" t="s">
        <v>27</v>
      </c>
      <c r="H825" t="s">
        <v>28</v>
      </c>
      <c r="I825">
        <v>7839</v>
      </c>
      <c r="J825">
        <v>1362966.93</v>
      </c>
    </row>
    <row r="826" spans="1:10" x14ac:dyDescent="0.3">
      <c r="A826">
        <v>825</v>
      </c>
      <c r="B826">
        <v>129268586</v>
      </c>
      <c r="C826" t="s">
        <v>20</v>
      </c>
      <c r="D826" t="s">
        <v>14</v>
      </c>
      <c r="E826" s="1">
        <v>42856</v>
      </c>
      <c r="F826">
        <f t="shared" si="12"/>
        <v>2</v>
      </c>
      <c r="G826" t="s">
        <v>53</v>
      </c>
      <c r="H826" t="s">
        <v>16</v>
      </c>
      <c r="I826">
        <v>2302</v>
      </c>
      <c r="J826">
        <v>203934.18</v>
      </c>
    </row>
    <row r="827" spans="1:10" x14ac:dyDescent="0.3">
      <c r="A827">
        <v>826</v>
      </c>
      <c r="B827">
        <v>802078616</v>
      </c>
      <c r="C827" t="s">
        <v>9</v>
      </c>
      <c r="D827" t="s">
        <v>14</v>
      </c>
      <c r="E827" s="1">
        <v>42278</v>
      </c>
      <c r="F827">
        <f t="shared" si="12"/>
        <v>4</v>
      </c>
      <c r="G827" t="s">
        <v>21</v>
      </c>
      <c r="H827" t="s">
        <v>19</v>
      </c>
      <c r="I827">
        <v>1741</v>
      </c>
      <c r="J827">
        <v>302707.67</v>
      </c>
    </row>
    <row r="828" spans="1:10" x14ac:dyDescent="0.3">
      <c r="A828">
        <v>827</v>
      </c>
      <c r="B828">
        <v>907513463</v>
      </c>
      <c r="C828" t="s">
        <v>30</v>
      </c>
      <c r="D828" t="s">
        <v>10</v>
      </c>
      <c r="E828" s="1">
        <v>40269</v>
      </c>
      <c r="F828">
        <f t="shared" si="12"/>
        <v>2</v>
      </c>
      <c r="G828" t="s">
        <v>42</v>
      </c>
      <c r="H828" t="s">
        <v>26</v>
      </c>
      <c r="I828">
        <v>2256</v>
      </c>
      <c r="J828">
        <v>165680.64000000001</v>
      </c>
    </row>
    <row r="829" spans="1:10" x14ac:dyDescent="0.3">
      <c r="A829">
        <v>828</v>
      </c>
      <c r="B829">
        <v>976871955</v>
      </c>
      <c r="C829" t="s">
        <v>13</v>
      </c>
      <c r="D829" t="s">
        <v>14</v>
      </c>
      <c r="E829" s="1">
        <v>40360</v>
      </c>
      <c r="F829">
        <f t="shared" si="12"/>
        <v>3</v>
      </c>
      <c r="G829" t="s">
        <v>42</v>
      </c>
      <c r="H829" t="s">
        <v>26</v>
      </c>
      <c r="I829">
        <v>6975</v>
      </c>
      <c r="J829">
        <v>440331.75</v>
      </c>
    </row>
    <row r="830" spans="1:10" x14ac:dyDescent="0.3">
      <c r="A830">
        <v>829</v>
      </c>
      <c r="B830">
        <v>261765420</v>
      </c>
      <c r="C830" t="s">
        <v>20</v>
      </c>
      <c r="D830" t="s">
        <v>10</v>
      </c>
      <c r="E830" s="1">
        <v>41030</v>
      </c>
      <c r="F830">
        <f t="shared" si="12"/>
        <v>2</v>
      </c>
      <c r="G830" t="s">
        <v>45</v>
      </c>
      <c r="H830" t="s">
        <v>12</v>
      </c>
      <c r="I830">
        <v>1060</v>
      </c>
      <c r="J830">
        <v>93905.4</v>
      </c>
    </row>
    <row r="831" spans="1:10" x14ac:dyDescent="0.3">
      <c r="A831">
        <v>830</v>
      </c>
      <c r="B831">
        <v>784117686</v>
      </c>
      <c r="C831" t="s">
        <v>13</v>
      </c>
      <c r="D831" t="s">
        <v>10</v>
      </c>
      <c r="E831" s="1">
        <v>42552</v>
      </c>
      <c r="F831">
        <f t="shared" si="12"/>
        <v>3</v>
      </c>
      <c r="G831" t="s">
        <v>51</v>
      </c>
      <c r="H831" t="s">
        <v>26</v>
      </c>
      <c r="I831">
        <v>6703</v>
      </c>
      <c r="J831">
        <v>423160.39</v>
      </c>
    </row>
    <row r="832" spans="1:10" x14ac:dyDescent="0.3">
      <c r="A832">
        <v>831</v>
      </c>
      <c r="B832">
        <v>586165082</v>
      </c>
      <c r="C832" t="s">
        <v>9</v>
      </c>
      <c r="D832" t="s">
        <v>10</v>
      </c>
      <c r="E832" s="1">
        <v>42736</v>
      </c>
      <c r="F832">
        <f t="shared" si="12"/>
        <v>1</v>
      </c>
      <c r="G832" t="s">
        <v>33</v>
      </c>
      <c r="H832" t="s">
        <v>12</v>
      </c>
      <c r="I832">
        <v>8128</v>
      </c>
      <c r="J832">
        <v>1413215.36</v>
      </c>
    </row>
    <row r="833" spans="1:10" x14ac:dyDescent="0.3">
      <c r="A833">
        <v>832</v>
      </c>
      <c r="B833">
        <v>480456435</v>
      </c>
      <c r="C833" t="s">
        <v>34</v>
      </c>
      <c r="D833" t="s">
        <v>14</v>
      </c>
      <c r="E833" s="1">
        <v>41214</v>
      </c>
      <c r="F833">
        <f t="shared" si="12"/>
        <v>4</v>
      </c>
      <c r="G833" t="s">
        <v>53</v>
      </c>
      <c r="H833" t="s">
        <v>16</v>
      </c>
      <c r="I833">
        <v>6591</v>
      </c>
      <c r="J833">
        <v>363427.74</v>
      </c>
    </row>
    <row r="834" spans="1:10" x14ac:dyDescent="0.3">
      <c r="A834">
        <v>833</v>
      </c>
      <c r="B834">
        <v>899853074</v>
      </c>
      <c r="C834" t="s">
        <v>20</v>
      </c>
      <c r="D834" t="s">
        <v>14</v>
      </c>
      <c r="E834" s="1">
        <v>40817</v>
      </c>
      <c r="F834">
        <f t="shared" ref="F834:F897" si="13">ROUNDUP(MONTH(E834)/3,0)</f>
        <v>4</v>
      </c>
      <c r="G834" t="s">
        <v>57</v>
      </c>
      <c r="H834" t="s">
        <v>16</v>
      </c>
      <c r="I834">
        <v>5376</v>
      </c>
      <c r="J834">
        <v>476259.84000000003</v>
      </c>
    </row>
    <row r="835" spans="1:10" x14ac:dyDescent="0.3">
      <c r="A835">
        <v>834</v>
      </c>
      <c r="B835">
        <v>547528827</v>
      </c>
      <c r="C835" t="s">
        <v>17</v>
      </c>
      <c r="D835" t="s">
        <v>10</v>
      </c>
      <c r="E835" s="1">
        <v>40483</v>
      </c>
      <c r="F835">
        <f t="shared" si="13"/>
        <v>4</v>
      </c>
      <c r="G835" t="s">
        <v>55</v>
      </c>
      <c r="H835" t="s">
        <v>26</v>
      </c>
      <c r="I835">
        <v>4802</v>
      </c>
      <c r="J835">
        <v>460319.72</v>
      </c>
    </row>
    <row r="836" spans="1:10" x14ac:dyDescent="0.3">
      <c r="A836">
        <v>835</v>
      </c>
      <c r="B836">
        <v>446970021</v>
      </c>
      <c r="C836" t="s">
        <v>13</v>
      </c>
      <c r="D836" t="s">
        <v>14</v>
      </c>
      <c r="E836" s="1">
        <v>42491</v>
      </c>
      <c r="F836">
        <f t="shared" si="13"/>
        <v>2</v>
      </c>
      <c r="G836" t="s">
        <v>27</v>
      </c>
      <c r="H836" t="s">
        <v>28</v>
      </c>
      <c r="I836">
        <v>7217</v>
      </c>
      <c r="J836">
        <v>455609.21</v>
      </c>
    </row>
    <row r="837" spans="1:10" x14ac:dyDescent="0.3">
      <c r="A837">
        <v>836</v>
      </c>
      <c r="B837">
        <v>791975486</v>
      </c>
      <c r="C837" t="s">
        <v>41</v>
      </c>
      <c r="D837" t="s">
        <v>10</v>
      </c>
      <c r="E837" s="1">
        <v>42401</v>
      </c>
      <c r="F837">
        <f t="shared" si="13"/>
        <v>1</v>
      </c>
      <c r="G837" t="s">
        <v>37</v>
      </c>
      <c r="H837" t="s">
        <v>26</v>
      </c>
      <c r="I837">
        <v>2001</v>
      </c>
      <c r="J837">
        <v>31335.66</v>
      </c>
    </row>
    <row r="838" spans="1:10" x14ac:dyDescent="0.3">
      <c r="A838">
        <v>837</v>
      </c>
      <c r="B838">
        <v>496656548</v>
      </c>
      <c r="C838" t="s">
        <v>13</v>
      </c>
      <c r="D838" t="s">
        <v>10</v>
      </c>
      <c r="E838" s="1">
        <v>41852</v>
      </c>
      <c r="F838">
        <f t="shared" si="13"/>
        <v>3</v>
      </c>
      <c r="G838" t="s">
        <v>45</v>
      </c>
      <c r="H838" t="s">
        <v>12</v>
      </c>
      <c r="I838">
        <v>564</v>
      </c>
      <c r="J838">
        <v>35605.32</v>
      </c>
    </row>
    <row r="839" spans="1:10" x14ac:dyDescent="0.3">
      <c r="A839">
        <v>838</v>
      </c>
      <c r="B839">
        <v>345437037</v>
      </c>
      <c r="C839" t="s">
        <v>13</v>
      </c>
      <c r="D839" t="s">
        <v>10</v>
      </c>
      <c r="E839" s="1">
        <v>41395</v>
      </c>
      <c r="F839">
        <f t="shared" si="13"/>
        <v>2</v>
      </c>
      <c r="G839" t="s">
        <v>48</v>
      </c>
      <c r="H839" t="s">
        <v>16</v>
      </c>
      <c r="I839">
        <v>1351</v>
      </c>
      <c r="J839">
        <v>85288.63</v>
      </c>
    </row>
    <row r="840" spans="1:10" x14ac:dyDescent="0.3">
      <c r="A840">
        <v>839</v>
      </c>
      <c r="B840">
        <v>743053281</v>
      </c>
      <c r="C840" t="s">
        <v>13</v>
      </c>
      <c r="D840" t="s">
        <v>10</v>
      </c>
      <c r="E840" s="1">
        <v>42005</v>
      </c>
      <c r="F840">
        <f t="shared" si="13"/>
        <v>1</v>
      </c>
      <c r="G840" t="s">
        <v>42</v>
      </c>
      <c r="H840" t="s">
        <v>26</v>
      </c>
      <c r="I840">
        <v>4833</v>
      </c>
      <c r="J840">
        <v>305107.28999999998</v>
      </c>
    </row>
    <row r="841" spans="1:10" x14ac:dyDescent="0.3">
      <c r="A841">
        <v>840</v>
      </c>
      <c r="B841">
        <v>364554107</v>
      </c>
      <c r="C841" t="s">
        <v>34</v>
      </c>
      <c r="D841" t="s">
        <v>10</v>
      </c>
      <c r="E841" s="1">
        <v>40909</v>
      </c>
      <c r="F841">
        <f t="shared" si="13"/>
        <v>1</v>
      </c>
      <c r="G841" t="s">
        <v>57</v>
      </c>
      <c r="H841" t="s">
        <v>16</v>
      </c>
      <c r="I841">
        <v>8516</v>
      </c>
      <c r="J841">
        <v>469572.24</v>
      </c>
    </row>
    <row r="842" spans="1:10" x14ac:dyDescent="0.3">
      <c r="A842">
        <v>841</v>
      </c>
      <c r="B842">
        <v>205300843</v>
      </c>
      <c r="C842" t="s">
        <v>9</v>
      </c>
      <c r="D842" t="s">
        <v>14</v>
      </c>
      <c r="E842" s="1">
        <v>41183</v>
      </c>
      <c r="F842">
        <f t="shared" si="13"/>
        <v>4</v>
      </c>
      <c r="G842" t="s">
        <v>55</v>
      </c>
      <c r="H842" t="s">
        <v>26</v>
      </c>
      <c r="I842">
        <v>1937</v>
      </c>
      <c r="J842">
        <v>336786.19</v>
      </c>
    </row>
    <row r="843" spans="1:10" x14ac:dyDescent="0.3">
      <c r="A843">
        <v>842</v>
      </c>
      <c r="B843">
        <v>430967319</v>
      </c>
      <c r="C843" t="s">
        <v>36</v>
      </c>
      <c r="D843" t="s">
        <v>14</v>
      </c>
      <c r="E843" s="1">
        <v>42248</v>
      </c>
      <c r="F843">
        <f t="shared" si="13"/>
        <v>3</v>
      </c>
      <c r="G843" t="s">
        <v>56</v>
      </c>
      <c r="H843" t="s">
        <v>19</v>
      </c>
      <c r="I843">
        <v>1661</v>
      </c>
      <c r="J843">
        <v>275277.53000000003</v>
      </c>
    </row>
    <row r="844" spans="1:10" x14ac:dyDescent="0.3">
      <c r="A844">
        <v>843</v>
      </c>
      <c r="B844">
        <v>827539861</v>
      </c>
      <c r="C844" t="s">
        <v>47</v>
      </c>
      <c r="D844" t="s">
        <v>10</v>
      </c>
      <c r="E844" s="1">
        <v>41061</v>
      </c>
      <c r="F844">
        <f t="shared" si="13"/>
        <v>2</v>
      </c>
      <c r="G844" t="s">
        <v>35</v>
      </c>
      <c r="H844" t="s">
        <v>19</v>
      </c>
      <c r="I844">
        <v>6289</v>
      </c>
      <c r="J844">
        <v>359730.8</v>
      </c>
    </row>
    <row r="845" spans="1:10" x14ac:dyDescent="0.3">
      <c r="A845">
        <v>844</v>
      </c>
      <c r="B845">
        <v>351317298</v>
      </c>
      <c r="C845" t="s">
        <v>34</v>
      </c>
      <c r="D845" t="s">
        <v>10</v>
      </c>
      <c r="E845" s="1">
        <v>41974</v>
      </c>
      <c r="F845">
        <f t="shared" si="13"/>
        <v>4</v>
      </c>
      <c r="G845" t="s">
        <v>57</v>
      </c>
      <c r="H845" t="s">
        <v>16</v>
      </c>
      <c r="I845">
        <v>1450</v>
      </c>
      <c r="J845">
        <v>79953</v>
      </c>
    </row>
    <row r="846" spans="1:10" x14ac:dyDescent="0.3">
      <c r="A846">
        <v>845</v>
      </c>
      <c r="B846">
        <v>278910958</v>
      </c>
      <c r="C846" t="s">
        <v>36</v>
      </c>
      <c r="D846" t="s">
        <v>10</v>
      </c>
      <c r="E846" s="1">
        <v>41306</v>
      </c>
      <c r="F846">
        <f t="shared" si="13"/>
        <v>1</v>
      </c>
      <c r="G846" t="s">
        <v>50</v>
      </c>
      <c r="H846" t="s">
        <v>16</v>
      </c>
      <c r="I846">
        <v>4805</v>
      </c>
      <c r="J846">
        <v>796332.65</v>
      </c>
    </row>
    <row r="847" spans="1:10" x14ac:dyDescent="0.3">
      <c r="A847">
        <v>846</v>
      </c>
      <c r="B847">
        <v>157244670</v>
      </c>
      <c r="C847" t="s">
        <v>9</v>
      </c>
      <c r="D847" t="s">
        <v>10</v>
      </c>
      <c r="E847" s="1">
        <v>42767</v>
      </c>
      <c r="F847">
        <f t="shared" si="13"/>
        <v>1</v>
      </c>
      <c r="G847" t="s">
        <v>48</v>
      </c>
      <c r="H847" t="s">
        <v>16</v>
      </c>
      <c r="I847">
        <v>1047</v>
      </c>
      <c r="J847">
        <v>182041.89</v>
      </c>
    </row>
    <row r="848" spans="1:10" x14ac:dyDescent="0.3">
      <c r="A848">
        <v>847</v>
      </c>
      <c r="B848">
        <v>953554761</v>
      </c>
      <c r="C848" t="s">
        <v>41</v>
      </c>
      <c r="D848" t="s">
        <v>14</v>
      </c>
      <c r="E848" s="1">
        <v>42156</v>
      </c>
      <c r="F848">
        <f t="shared" si="13"/>
        <v>2</v>
      </c>
      <c r="G848" t="s">
        <v>18</v>
      </c>
      <c r="H848" t="s">
        <v>19</v>
      </c>
      <c r="I848">
        <v>6899</v>
      </c>
      <c r="J848">
        <v>108038.34</v>
      </c>
    </row>
    <row r="849" spans="1:10" x14ac:dyDescent="0.3">
      <c r="A849">
        <v>848</v>
      </c>
      <c r="B849">
        <v>105390059</v>
      </c>
      <c r="C849" t="s">
        <v>20</v>
      </c>
      <c r="D849" t="s">
        <v>14</v>
      </c>
      <c r="E849" s="1">
        <v>42552</v>
      </c>
      <c r="F849">
        <f t="shared" si="13"/>
        <v>3</v>
      </c>
      <c r="G849" t="s">
        <v>42</v>
      </c>
      <c r="H849" t="s">
        <v>26</v>
      </c>
      <c r="I849">
        <v>6115</v>
      </c>
      <c r="J849">
        <v>541727.85</v>
      </c>
    </row>
    <row r="850" spans="1:10" x14ac:dyDescent="0.3">
      <c r="A850">
        <v>849</v>
      </c>
      <c r="B850">
        <v>970611894</v>
      </c>
      <c r="C850" t="s">
        <v>9</v>
      </c>
      <c r="D850" t="s">
        <v>10</v>
      </c>
      <c r="E850" s="1">
        <v>41913</v>
      </c>
      <c r="F850">
        <f t="shared" si="13"/>
        <v>4</v>
      </c>
      <c r="G850" t="s">
        <v>50</v>
      </c>
      <c r="H850" t="s">
        <v>16</v>
      </c>
      <c r="I850">
        <v>4483</v>
      </c>
      <c r="J850">
        <v>779459.21</v>
      </c>
    </row>
    <row r="851" spans="1:10" x14ac:dyDescent="0.3">
      <c r="A851">
        <v>850</v>
      </c>
      <c r="B851">
        <v>677394092</v>
      </c>
      <c r="C851" t="s">
        <v>17</v>
      </c>
      <c r="D851" t="s">
        <v>10</v>
      </c>
      <c r="E851" s="1">
        <v>42705</v>
      </c>
      <c r="F851">
        <f t="shared" si="13"/>
        <v>4</v>
      </c>
      <c r="G851" t="s">
        <v>55</v>
      </c>
      <c r="H851" t="s">
        <v>26</v>
      </c>
      <c r="I851">
        <v>4820</v>
      </c>
      <c r="J851">
        <v>462045.2</v>
      </c>
    </row>
    <row r="852" spans="1:10" x14ac:dyDescent="0.3">
      <c r="A852">
        <v>851</v>
      </c>
      <c r="B852">
        <v>474222981</v>
      </c>
      <c r="C852" t="s">
        <v>17</v>
      </c>
      <c r="D852" t="s">
        <v>14</v>
      </c>
      <c r="E852" s="1">
        <v>42248</v>
      </c>
      <c r="F852">
        <f t="shared" si="13"/>
        <v>3</v>
      </c>
      <c r="G852" t="s">
        <v>15</v>
      </c>
      <c r="H852" t="s">
        <v>16</v>
      </c>
      <c r="I852">
        <v>1973</v>
      </c>
      <c r="J852">
        <v>189131.78</v>
      </c>
    </row>
    <row r="853" spans="1:10" x14ac:dyDescent="0.3">
      <c r="A853">
        <v>852</v>
      </c>
      <c r="B853">
        <v>779897391</v>
      </c>
      <c r="C853" t="s">
        <v>34</v>
      </c>
      <c r="D853" t="s">
        <v>14</v>
      </c>
      <c r="E853" s="1">
        <v>42461</v>
      </c>
      <c r="F853">
        <f t="shared" si="13"/>
        <v>2</v>
      </c>
      <c r="G853" t="s">
        <v>49</v>
      </c>
      <c r="H853" t="s">
        <v>19</v>
      </c>
      <c r="I853">
        <v>7824</v>
      </c>
      <c r="J853">
        <v>431415.36</v>
      </c>
    </row>
    <row r="854" spans="1:10" x14ac:dyDescent="0.3">
      <c r="A854">
        <v>853</v>
      </c>
      <c r="B854">
        <v>733528649</v>
      </c>
      <c r="C854" t="s">
        <v>34</v>
      </c>
      <c r="D854" t="s">
        <v>10</v>
      </c>
      <c r="E854" s="1">
        <v>42795</v>
      </c>
      <c r="F854">
        <f t="shared" si="13"/>
        <v>1</v>
      </c>
      <c r="G854" t="s">
        <v>38</v>
      </c>
      <c r="H854" t="s">
        <v>16</v>
      </c>
      <c r="I854">
        <v>6283</v>
      </c>
      <c r="J854">
        <v>346444.62</v>
      </c>
    </row>
    <row r="855" spans="1:10" x14ac:dyDescent="0.3">
      <c r="A855">
        <v>854</v>
      </c>
      <c r="B855">
        <v>444540584</v>
      </c>
      <c r="C855" t="s">
        <v>40</v>
      </c>
      <c r="D855" t="s">
        <v>14</v>
      </c>
      <c r="E855" s="1">
        <v>41791</v>
      </c>
      <c r="F855">
        <f t="shared" si="13"/>
        <v>2</v>
      </c>
      <c r="G855" t="s">
        <v>33</v>
      </c>
      <c r="H855" t="s">
        <v>12</v>
      </c>
      <c r="I855">
        <v>8292</v>
      </c>
      <c r="J855">
        <v>1046865</v>
      </c>
    </row>
    <row r="856" spans="1:10" x14ac:dyDescent="0.3">
      <c r="A856">
        <v>855</v>
      </c>
      <c r="B856">
        <v>542669522</v>
      </c>
      <c r="C856" t="s">
        <v>30</v>
      </c>
      <c r="D856" t="s">
        <v>14</v>
      </c>
      <c r="E856" s="1">
        <v>41091</v>
      </c>
      <c r="F856">
        <f t="shared" si="13"/>
        <v>3</v>
      </c>
      <c r="G856" t="s">
        <v>49</v>
      </c>
      <c r="H856" t="s">
        <v>19</v>
      </c>
      <c r="I856">
        <v>6826</v>
      </c>
      <c r="J856">
        <v>501301.44</v>
      </c>
    </row>
    <row r="857" spans="1:10" x14ac:dyDescent="0.3">
      <c r="A857">
        <v>856</v>
      </c>
      <c r="B857">
        <v>827964293</v>
      </c>
      <c r="C857" t="s">
        <v>24</v>
      </c>
      <c r="D857" t="s">
        <v>10</v>
      </c>
      <c r="E857" s="1">
        <v>41395</v>
      </c>
      <c r="F857">
        <f t="shared" si="13"/>
        <v>2</v>
      </c>
      <c r="G857" t="s">
        <v>59</v>
      </c>
      <c r="H857" t="s">
        <v>19</v>
      </c>
      <c r="I857">
        <v>1888</v>
      </c>
      <c r="J857">
        <v>4550.08</v>
      </c>
    </row>
    <row r="858" spans="1:10" x14ac:dyDescent="0.3">
      <c r="A858">
        <v>857</v>
      </c>
      <c r="B858">
        <v>720786225</v>
      </c>
      <c r="C858" t="s">
        <v>34</v>
      </c>
      <c r="D858" t="s">
        <v>10</v>
      </c>
      <c r="E858" s="1">
        <v>40940</v>
      </c>
      <c r="F858">
        <f t="shared" si="13"/>
        <v>1</v>
      </c>
      <c r="G858" t="s">
        <v>18</v>
      </c>
      <c r="H858" t="s">
        <v>19</v>
      </c>
      <c r="I858">
        <v>5516</v>
      </c>
      <c r="J858">
        <v>304152.24</v>
      </c>
    </row>
    <row r="859" spans="1:10" x14ac:dyDescent="0.3">
      <c r="A859">
        <v>858</v>
      </c>
      <c r="B859">
        <v>611809146</v>
      </c>
      <c r="C859" t="s">
        <v>36</v>
      </c>
      <c r="D859" t="s">
        <v>10</v>
      </c>
      <c r="E859" s="1">
        <v>42552</v>
      </c>
      <c r="F859">
        <f t="shared" si="13"/>
        <v>3</v>
      </c>
      <c r="G859" t="s">
        <v>18</v>
      </c>
      <c r="H859" t="s">
        <v>19</v>
      </c>
      <c r="I859">
        <v>6777</v>
      </c>
      <c r="J859">
        <v>1123152.21</v>
      </c>
    </row>
    <row r="860" spans="1:10" x14ac:dyDescent="0.3">
      <c r="A860">
        <v>859</v>
      </c>
      <c r="B860">
        <v>512019383</v>
      </c>
      <c r="C860" t="s">
        <v>43</v>
      </c>
      <c r="D860" t="s">
        <v>14</v>
      </c>
      <c r="E860" s="1">
        <v>41214</v>
      </c>
      <c r="F860">
        <f t="shared" si="13"/>
        <v>4</v>
      </c>
      <c r="G860" t="s">
        <v>38</v>
      </c>
      <c r="H860" t="s">
        <v>16</v>
      </c>
      <c r="I860">
        <v>6769</v>
      </c>
      <c r="J860">
        <v>169631.14</v>
      </c>
    </row>
    <row r="861" spans="1:10" x14ac:dyDescent="0.3">
      <c r="A861">
        <v>860</v>
      </c>
      <c r="B861">
        <v>502715766</v>
      </c>
      <c r="C861" t="s">
        <v>43</v>
      </c>
      <c r="D861" t="s">
        <v>14</v>
      </c>
      <c r="E861" s="1">
        <v>41852</v>
      </c>
      <c r="F861">
        <f t="shared" si="13"/>
        <v>3</v>
      </c>
      <c r="G861" t="s">
        <v>48</v>
      </c>
      <c r="H861" t="s">
        <v>16</v>
      </c>
      <c r="I861">
        <v>3621</v>
      </c>
      <c r="J861">
        <v>90742.26</v>
      </c>
    </row>
    <row r="862" spans="1:10" x14ac:dyDescent="0.3">
      <c r="A862">
        <v>861</v>
      </c>
      <c r="B862">
        <v>285509622</v>
      </c>
      <c r="C862" t="s">
        <v>40</v>
      </c>
      <c r="D862" t="s">
        <v>10</v>
      </c>
      <c r="E862" s="1">
        <v>41548</v>
      </c>
      <c r="F862">
        <f t="shared" si="13"/>
        <v>4</v>
      </c>
      <c r="G862" t="s">
        <v>42</v>
      </c>
      <c r="H862" t="s">
        <v>26</v>
      </c>
      <c r="I862">
        <v>7497</v>
      </c>
      <c r="J862">
        <v>946496.25</v>
      </c>
    </row>
    <row r="863" spans="1:10" x14ac:dyDescent="0.3">
      <c r="A863">
        <v>862</v>
      </c>
      <c r="B863">
        <v>532324779</v>
      </c>
      <c r="C863" t="s">
        <v>41</v>
      </c>
      <c r="D863" t="s">
        <v>10</v>
      </c>
      <c r="E863" s="1">
        <v>41974</v>
      </c>
      <c r="F863">
        <f t="shared" si="13"/>
        <v>4</v>
      </c>
      <c r="G863" t="s">
        <v>55</v>
      </c>
      <c r="H863" t="s">
        <v>26</v>
      </c>
      <c r="I863">
        <v>5586</v>
      </c>
      <c r="J863">
        <v>87476.76</v>
      </c>
    </row>
    <row r="864" spans="1:10" x14ac:dyDescent="0.3">
      <c r="A864">
        <v>863</v>
      </c>
      <c r="B864">
        <v>635397565</v>
      </c>
      <c r="C864" t="s">
        <v>43</v>
      </c>
      <c r="D864" t="s">
        <v>10</v>
      </c>
      <c r="E864" s="1">
        <v>42309</v>
      </c>
      <c r="F864">
        <f t="shared" si="13"/>
        <v>4</v>
      </c>
      <c r="G864" t="s">
        <v>58</v>
      </c>
      <c r="H864" t="s">
        <v>26</v>
      </c>
      <c r="I864">
        <v>7114</v>
      </c>
      <c r="J864">
        <v>178276.84</v>
      </c>
    </row>
    <row r="865" spans="1:10" x14ac:dyDescent="0.3">
      <c r="A865">
        <v>864</v>
      </c>
      <c r="B865">
        <v>957276809</v>
      </c>
      <c r="C865" t="s">
        <v>20</v>
      </c>
      <c r="D865" t="s">
        <v>10</v>
      </c>
      <c r="E865" s="1">
        <v>40817</v>
      </c>
      <c r="F865">
        <f t="shared" si="13"/>
        <v>4</v>
      </c>
      <c r="G865" t="s">
        <v>46</v>
      </c>
      <c r="H865" t="s">
        <v>28</v>
      </c>
      <c r="I865">
        <v>8335</v>
      </c>
      <c r="J865">
        <v>738397.65</v>
      </c>
    </row>
    <row r="866" spans="1:10" x14ac:dyDescent="0.3">
      <c r="A866">
        <v>865</v>
      </c>
      <c r="B866">
        <v>580823838</v>
      </c>
      <c r="C866" t="s">
        <v>34</v>
      </c>
      <c r="D866" t="s">
        <v>14</v>
      </c>
      <c r="E866" s="1">
        <v>41671</v>
      </c>
      <c r="F866">
        <f t="shared" si="13"/>
        <v>1</v>
      </c>
      <c r="G866" t="s">
        <v>50</v>
      </c>
      <c r="H866" t="s">
        <v>16</v>
      </c>
      <c r="I866">
        <v>7536</v>
      </c>
      <c r="J866">
        <v>415535.04</v>
      </c>
    </row>
    <row r="867" spans="1:10" x14ac:dyDescent="0.3">
      <c r="A867">
        <v>866</v>
      </c>
      <c r="B867">
        <v>459212481</v>
      </c>
      <c r="C867" t="s">
        <v>40</v>
      </c>
      <c r="D867" t="s">
        <v>10</v>
      </c>
      <c r="E867" s="1">
        <v>42491</v>
      </c>
      <c r="F867">
        <f t="shared" si="13"/>
        <v>2</v>
      </c>
      <c r="G867" t="s">
        <v>37</v>
      </c>
      <c r="H867" t="s">
        <v>26</v>
      </c>
      <c r="I867">
        <v>33</v>
      </c>
      <c r="J867">
        <v>4166.25</v>
      </c>
    </row>
    <row r="868" spans="1:10" x14ac:dyDescent="0.3">
      <c r="A868">
        <v>867</v>
      </c>
      <c r="B868">
        <v>265929067</v>
      </c>
      <c r="C868" t="s">
        <v>17</v>
      </c>
      <c r="D868" t="s">
        <v>14</v>
      </c>
      <c r="E868" s="1">
        <v>41365</v>
      </c>
      <c r="F868">
        <f t="shared" si="13"/>
        <v>2</v>
      </c>
      <c r="G868" t="s">
        <v>48</v>
      </c>
      <c r="H868" t="s">
        <v>16</v>
      </c>
      <c r="I868">
        <v>3175</v>
      </c>
      <c r="J868">
        <v>304355.5</v>
      </c>
    </row>
    <row r="869" spans="1:10" x14ac:dyDescent="0.3">
      <c r="A869">
        <v>868</v>
      </c>
      <c r="B869">
        <v>644772422</v>
      </c>
      <c r="C869" t="s">
        <v>41</v>
      </c>
      <c r="D869" t="s">
        <v>14</v>
      </c>
      <c r="E869" s="1">
        <v>40787</v>
      </c>
      <c r="F869">
        <f t="shared" si="13"/>
        <v>3</v>
      </c>
      <c r="G869" t="s">
        <v>55</v>
      </c>
      <c r="H869" t="s">
        <v>26</v>
      </c>
      <c r="I869">
        <v>1343</v>
      </c>
      <c r="J869">
        <v>21031.38</v>
      </c>
    </row>
    <row r="870" spans="1:10" x14ac:dyDescent="0.3">
      <c r="A870">
        <v>869</v>
      </c>
      <c r="B870">
        <v>959853875</v>
      </c>
      <c r="C870" t="s">
        <v>13</v>
      </c>
      <c r="D870" t="s">
        <v>10</v>
      </c>
      <c r="E870" s="1">
        <v>41000</v>
      </c>
      <c r="F870">
        <f t="shared" si="13"/>
        <v>2</v>
      </c>
      <c r="G870" t="s">
        <v>45</v>
      </c>
      <c r="H870" t="s">
        <v>12</v>
      </c>
      <c r="I870">
        <v>947</v>
      </c>
      <c r="J870">
        <v>59784.11</v>
      </c>
    </row>
    <row r="871" spans="1:10" x14ac:dyDescent="0.3">
      <c r="A871">
        <v>870</v>
      </c>
      <c r="B871">
        <v>645597255</v>
      </c>
      <c r="C871" t="s">
        <v>13</v>
      </c>
      <c r="D871" t="s">
        <v>14</v>
      </c>
      <c r="E871" s="1">
        <v>41183</v>
      </c>
      <c r="F871">
        <f t="shared" si="13"/>
        <v>4</v>
      </c>
      <c r="G871" t="s">
        <v>35</v>
      </c>
      <c r="H871" t="s">
        <v>19</v>
      </c>
      <c r="I871">
        <v>5429</v>
      </c>
      <c r="J871">
        <v>342732.77</v>
      </c>
    </row>
    <row r="872" spans="1:10" x14ac:dyDescent="0.3">
      <c r="A872">
        <v>871</v>
      </c>
      <c r="B872">
        <v>556738889</v>
      </c>
      <c r="C872" t="s">
        <v>17</v>
      </c>
      <c r="D872" t="s">
        <v>10</v>
      </c>
      <c r="E872" s="1">
        <v>40909</v>
      </c>
      <c r="F872">
        <f t="shared" si="13"/>
        <v>1</v>
      </c>
      <c r="G872" t="s">
        <v>18</v>
      </c>
      <c r="H872" t="s">
        <v>19</v>
      </c>
      <c r="I872">
        <v>264</v>
      </c>
      <c r="J872">
        <v>25307.040000000001</v>
      </c>
    </row>
    <row r="873" spans="1:10" x14ac:dyDescent="0.3">
      <c r="A873">
        <v>872</v>
      </c>
      <c r="B873">
        <v>718327605</v>
      </c>
      <c r="C873" t="s">
        <v>13</v>
      </c>
      <c r="D873" t="s">
        <v>14</v>
      </c>
      <c r="E873" s="1">
        <v>41518</v>
      </c>
      <c r="F873">
        <f t="shared" si="13"/>
        <v>3</v>
      </c>
      <c r="G873" t="s">
        <v>50</v>
      </c>
      <c r="H873" t="s">
        <v>16</v>
      </c>
      <c r="I873">
        <v>7956</v>
      </c>
      <c r="J873">
        <v>502262.28</v>
      </c>
    </row>
    <row r="874" spans="1:10" x14ac:dyDescent="0.3">
      <c r="A874">
        <v>873</v>
      </c>
      <c r="B874">
        <v>775724732</v>
      </c>
      <c r="C874" t="s">
        <v>17</v>
      </c>
      <c r="D874" t="s">
        <v>10</v>
      </c>
      <c r="E874" s="1">
        <v>42064</v>
      </c>
      <c r="F874">
        <f t="shared" si="13"/>
        <v>1</v>
      </c>
      <c r="G874" t="s">
        <v>45</v>
      </c>
      <c r="H874" t="s">
        <v>12</v>
      </c>
      <c r="I874">
        <v>3041</v>
      </c>
      <c r="J874">
        <v>291510.26</v>
      </c>
    </row>
    <row r="875" spans="1:10" x14ac:dyDescent="0.3">
      <c r="A875">
        <v>874</v>
      </c>
      <c r="B875">
        <v>444604098</v>
      </c>
      <c r="C875" t="s">
        <v>17</v>
      </c>
      <c r="D875" t="s">
        <v>10</v>
      </c>
      <c r="E875" s="1">
        <v>40452</v>
      </c>
      <c r="F875">
        <f t="shared" si="13"/>
        <v>4</v>
      </c>
      <c r="G875" t="s">
        <v>32</v>
      </c>
      <c r="H875" t="s">
        <v>26</v>
      </c>
      <c r="I875">
        <v>7088</v>
      </c>
      <c r="J875">
        <v>679455.68</v>
      </c>
    </row>
    <row r="876" spans="1:10" x14ac:dyDescent="0.3">
      <c r="A876">
        <v>875</v>
      </c>
      <c r="B876">
        <v>860952031</v>
      </c>
      <c r="C876" t="s">
        <v>41</v>
      </c>
      <c r="D876" t="s">
        <v>14</v>
      </c>
      <c r="E876" s="1">
        <v>40664</v>
      </c>
      <c r="F876">
        <f t="shared" si="13"/>
        <v>2</v>
      </c>
      <c r="G876" t="s">
        <v>55</v>
      </c>
      <c r="H876" t="s">
        <v>26</v>
      </c>
      <c r="I876">
        <v>3693</v>
      </c>
      <c r="J876">
        <v>57832.38</v>
      </c>
    </row>
    <row r="877" spans="1:10" x14ac:dyDescent="0.3">
      <c r="A877">
        <v>876</v>
      </c>
      <c r="B877">
        <v>531067359</v>
      </c>
      <c r="C877" t="s">
        <v>47</v>
      </c>
      <c r="D877" t="s">
        <v>10</v>
      </c>
      <c r="E877" s="1">
        <v>42767</v>
      </c>
      <c r="F877">
        <f t="shared" si="13"/>
        <v>1</v>
      </c>
      <c r="G877" t="s">
        <v>44</v>
      </c>
      <c r="H877" t="s">
        <v>26</v>
      </c>
      <c r="I877">
        <v>3488</v>
      </c>
      <c r="J877">
        <v>199513.60000000001</v>
      </c>
    </row>
    <row r="878" spans="1:10" x14ac:dyDescent="0.3">
      <c r="A878">
        <v>877</v>
      </c>
      <c r="B878">
        <v>281561410</v>
      </c>
      <c r="C878" t="s">
        <v>9</v>
      </c>
      <c r="D878" t="s">
        <v>10</v>
      </c>
      <c r="E878" s="1">
        <v>41821</v>
      </c>
      <c r="F878">
        <f t="shared" si="13"/>
        <v>3</v>
      </c>
      <c r="G878" t="s">
        <v>11</v>
      </c>
      <c r="H878" t="s">
        <v>12</v>
      </c>
      <c r="I878">
        <v>9133</v>
      </c>
      <c r="J878">
        <v>1587954.71</v>
      </c>
    </row>
    <row r="879" spans="1:10" x14ac:dyDescent="0.3">
      <c r="A879">
        <v>878</v>
      </c>
      <c r="B879">
        <v>109358012</v>
      </c>
      <c r="C879" t="s">
        <v>43</v>
      </c>
      <c r="D879" t="s">
        <v>10</v>
      </c>
      <c r="E879" s="1">
        <v>42887</v>
      </c>
      <c r="F879">
        <f t="shared" si="13"/>
        <v>2</v>
      </c>
      <c r="G879" t="s">
        <v>49</v>
      </c>
      <c r="H879" t="s">
        <v>19</v>
      </c>
      <c r="I879">
        <v>321</v>
      </c>
      <c r="J879">
        <v>8044.26</v>
      </c>
    </row>
    <row r="880" spans="1:10" x14ac:dyDescent="0.3">
      <c r="A880">
        <v>879</v>
      </c>
      <c r="B880">
        <v>531693494</v>
      </c>
      <c r="C880" t="s">
        <v>41</v>
      </c>
      <c r="D880" t="s">
        <v>14</v>
      </c>
      <c r="E880" s="1">
        <v>40360</v>
      </c>
      <c r="F880">
        <f t="shared" si="13"/>
        <v>3</v>
      </c>
      <c r="G880" t="s">
        <v>52</v>
      </c>
      <c r="H880" t="s">
        <v>19</v>
      </c>
      <c r="I880">
        <v>8775</v>
      </c>
      <c r="J880">
        <v>137416.5</v>
      </c>
    </row>
    <row r="881" spans="1:10" x14ac:dyDescent="0.3">
      <c r="A881">
        <v>880</v>
      </c>
      <c r="B881">
        <v>336116683</v>
      </c>
      <c r="C881" t="s">
        <v>30</v>
      </c>
      <c r="D881" t="s">
        <v>10</v>
      </c>
      <c r="E881" s="1">
        <v>41487</v>
      </c>
      <c r="F881">
        <f t="shared" si="13"/>
        <v>3</v>
      </c>
      <c r="G881" t="s">
        <v>31</v>
      </c>
      <c r="H881" t="s">
        <v>19</v>
      </c>
      <c r="I881">
        <v>3251</v>
      </c>
      <c r="J881">
        <v>238753.44</v>
      </c>
    </row>
    <row r="882" spans="1:10" x14ac:dyDescent="0.3">
      <c r="A882">
        <v>881</v>
      </c>
      <c r="B882">
        <v>630488908</v>
      </c>
      <c r="C882" t="s">
        <v>20</v>
      </c>
      <c r="D882" t="s">
        <v>10</v>
      </c>
      <c r="E882" s="1">
        <v>42795</v>
      </c>
      <c r="F882">
        <f t="shared" si="13"/>
        <v>1</v>
      </c>
      <c r="G882" t="s">
        <v>32</v>
      </c>
      <c r="H882" t="s">
        <v>26</v>
      </c>
      <c r="I882">
        <v>4534</v>
      </c>
      <c r="J882">
        <v>401667.06</v>
      </c>
    </row>
    <row r="883" spans="1:10" x14ac:dyDescent="0.3">
      <c r="A883">
        <v>882</v>
      </c>
      <c r="B883">
        <v>792983996</v>
      </c>
      <c r="C883" t="s">
        <v>24</v>
      </c>
      <c r="D883" t="s">
        <v>14</v>
      </c>
      <c r="E883" s="1">
        <v>42644</v>
      </c>
      <c r="F883">
        <f t="shared" si="13"/>
        <v>4</v>
      </c>
      <c r="G883" t="s">
        <v>11</v>
      </c>
      <c r="H883" t="s">
        <v>12</v>
      </c>
      <c r="I883">
        <v>441</v>
      </c>
      <c r="J883">
        <v>1062.81</v>
      </c>
    </row>
    <row r="884" spans="1:10" x14ac:dyDescent="0.3">
      <c r="A884">
        <v>883</v>
      </c>
      <c r="B884">
        <v>722088277</v>
      </c>
      <c r="C884" t="s">
        <v>24</v>
      </c>
      <c r="D884" t="s">
        <v>14</v>
      </c>
      <c r="E884" s="1">
        <v>42552</v>
      </c>
      <c r="F884">
        <f t="shared" si="13"/>
        <v>3</v>
      </c>
      <c r="G884" t="s">
        <v>18</v>
      </c>
      <c r="H884" t="s">
        <v>19</v>
      </c>
      <c r="I884">
        <v>822</v>
      </c>
      <c r="J884">
        <v>1981.02</v>
      </c>
    </row>
    <row r="885" spans="1:10" x14ac:dyDescent="0.3">
      <c r="A885">
        <v>884</v>
      </c>
      <c r="B885">
        <v>386600577</v>
      </c>
      <c r="C885" t="s">
        <v>9</v>
      </c>
      <c r="D885" t="s">
        <v>14</v>
      </c>
      <c r="E885" s="1">
        <v>40179</v>
      </c>
      <c r="F885">
        <f t="shared" si="13"/>
        <v>1</v>
      </c>
      <c r="G885" t="s">
        <v>33</v>
      </c>
      <c r="H885" t="s">
        <v>12</v>
      </c>
      <c r="I885">
        <v>2557</v>
      </c>
      <c r="J885">
        <v>444585.59</v>
      </c>
    </row>
    <row r="886" spans="1:10" x14ac:dyDescent="0.3">
      <c r="A886">
        <v>885</v>
      </c>
      <c r="B886">
        <v>275632226</v>
      </c>
      <c r="C886" t="s">
        <v>41</v>
      </c>
      <c r="D886" t="s">
        <v>10</v>
      </c>
      <c r="E886" s="1">
        <v>41974</v>
      </c>
      <c r="F886">
        <f t="shared" si="13"/>
        <v>4</v>
      </c>
      <c r="G886" t="s">
        <v>51</v>
      </c>
      <c r="H886" t="s">
        <v>26</v>
      </c>
      <c r="I886">
        <v>4556</v>
      </c>
      <c r="J886">
        <v>71346.960000000006</v>
      </c>
    </row>
    <row r="887" spans="1:10" x14ac:dyDescent="0.3">
      <c r="A887">
        <v>886</v>
      </c>
      <c r="B887">
        <v>948607051</v>
      </c>
      <c r="C887" t="s">
        <v>13</v>
      </c>
      <c r="D887" t="s">
        <v>10</v>
      </c>
      <c r="E887" s="1">
        <v>42278</v>
      </c>
      <c r="F887">
        <f t="shared" si="13"/>
        <v>4</v>
      </c>
      <c r="G887" t="s">
        <v>31</v>
      </c>
      <c r="H887" t="s">
        <v>19</v>
      </c>
      <c r="I887">
        <v>2761</v>
      </c>
      <c r="J887">
        <v>174301.93</v>
      </c>
    </row>
    <row r="888" spans="1:10" x14ac:dyDescent="0.3">
      <c r="A888">
        <v>887</v>
      </c>
      <c r="B888">
        <v>785261380</v>
      </c>
      <c r="C888" t="s">
        <v>20</v>
      </c>
      <c r="D888" t="s">
        <v>14</v>
      </c>
      <c r="E888" s="1">
        <v>41395</v>
      </c>
      <c r="F888">
        <f t="shared" si="13"/>
        <v>2</v>
      </c>
      <c r="G888" t="s">
        <v>39</v>
      </c>
      <c r="H888" t="s">
        <v>28</v>
      </c>
      <c r="I888">
        <v>5147</v>
      </c>
      <c r="J888">
        <v>455972.73</v>
      </c>
    </row>
    <row r="889" spans="1:10" x14ac:dyDescent="0.3">
      <c r="A889">
        <v>888</v>
      </c>
      <c r="B889">
        <v>935644042</v>
      </c>
      <c r="C889" t="s">
        <v>20</v>
      </c>
      <c r="D889" t="s">
        <v>14</v>
      </c>
      <c r="E889" s="1">
        <v>41334</v>
      </c>
      <c r="F889">
        <f t="shared" si="13"/>
        <v>1</v>
      </c>
      <c r="G889" t="s">
        <v>32</v>
      </c>
      <c r="H889" t="s">
        <v>26</v>
      </c>
      <c r="I889">
        <v>6719</v>
      </c>
      <c r="J889">
        <v>595236.21</v>
      </c>
    </row>
    <row r="890" spans="1:10" x14ac:dyDescent="0.3">
      <c r="A890">
        <v>889</v>
      </c>
      <c r="B890">
        <v>370116364</v>
      </c>
      <c r="C890" t="s">
        <v>34</v>
      </c>
      <c r="D890" t="s">
        <v>10</v>
      </c>
      <c r="E890" s="1">
        <v>41821</v>
      </c>
      <c r="F890">
        <f t="shared" si="13"/>
        <v>3</v>
      </c>
      <c r="G890" t="s">
        <v>59</v>
      </c>
      <c r="H890" t="s">
        <v>19</v>
      </c>
      <c r="I890">
        <v>4512</v>
      </c>
      <c r="J890">
        <v>248791.67999999999</v>
      </c>
    </row>
    <row r="891" spans="1:10" x14ac:dyDescent="0.3">
      <c r="A891">
        <v>890</v>
      </c>
      <c r="B891">
        <v>829352176</v>
      </c>
      <c r="C891" t="s">
        <v>41</v>
      </c>
      <c r="D891" t="s">
        <v>14</v>
      </c>
      <c r="E891" s="1">
        <v>41487</v>
      </c>
      <c r="F891">
        <f t="shared" si="13"/>
        <v>3</v>
      </c>
      <c r="G891" t="s">
        <v>52</v>
      </c>
      <c r="H891" t="s">
        <v>19</v>
      </c>
      <c r="I891">
        <v>2594</v>
      </c>
      <c r="J891">
        <v>40622.04</v>
      </c>
    </row>
    <row r="892" spans="1:10" x14ac:dyDescent="0.3">
      <c r="A892">
        <v>891</v>
      </c>
      <c r="B892">
        <v>974337804</v>
      </c>
      <c r="C892" t="s">
        <v>36</v>
      </c>
      <c r="D892" t="s">
        <v>14</v>
      </c>
      <c r="E892" s="1">
        <v>42186</v>
      </c>
      <c r="F892">
        <f t="shared" si="13"/>
        <v>3</v>
      </c>
      <c r="G892" t="s">
        <v>56</v>
      </c>
      <c r="H892" t="s">
        <v>19</v>
      </c>
      <c r="I892">
        <v>7063</v>
      </c>
      <c r="J892">
        <v>1170550.99</v>
      </c>
    </row>
    <row r="893" spans="1:10" x14ac:dyDescent="0.3">
      <c r="A893">
        <v>892</v>
      </c>
      <c r="B893">
        <v>436372077</v>
      </c>
      <c r="C893" t="s">
        <v>36</v>
      </c>
      <c r="D893" t="s">
        <v>14</v>
      </c>
      <c r="E893" s="1">
        <v>41974</v>
      </c>
      <c r="F893">
        <f t="shared" si="13"/>
        <v>4</v>
      </c>
      <c r="G893" t="s">
        <v>58</v>
      </c>
      <c r="H893" t="s">
        <v>26</v>
      </c>
      <c r="I893">
        <v>1050</v>
      </c>
      <c r="J893">
        <v>174016.5</v>
      </c>
    </row>
    <row r="894" spans="1:10" x14ac:dyDescent="0.3">
      <c r="A894">
        <v>893</v>
      </c>
      <c r="B894">
        <v>267066323</v>
      </c>
      <c r="C894" t="s">
        <v>20</v>
      </c>
      <c r="D894" t="s">
        <v>10</v>
      </c>
      <c r="E894" s="1">
        <v>42095</v>
      </c>
      <c r="F894">
        <f t="shared" si="13"/>
        <v>2</v>
      </c>
      <c r="G894" t="s">
        <v>42</v>
      </c>
      <c r="H894" t="s">
        <v>26</v>
      </c>
      <c r="I894">
        <v>9715</v>
      </c>
      <c r="J894">
        <v>860651.85</v>
      </c>
    </row>
    <row r="895" spans="1:10" x14ac:dyDescent="0.3">
      <c r="A895">
        <v>894</v>
      </c>
      <c r="B895">
        <v>688344371</v>
      </c>
      <c r="C895" t="s">
        <v>24</v>
      </c>
      <c r="D895" t="s">
        <v>14</v>
      </c>
      <c r="E895" s="1">
        <v>42795</v>
      </c>
      <c r="F895">
        <f t="shared" si="13"/>
        <v>1</v>
      </c>
      <c r="G895" t="s">
        <v>48</v>
      </c>
      <c r="H895" t="s">
        <v>16</v>
      </c>
      <c r="I895">
        <v>5251</v>
      </c>
      <c r="J895">
        <v>12654.91</v>
      </c>
    </row>
    <row r="896" spans="1:10" x14ac:dyDescent="0.3">
      <c r="A896">
        <v>895</v>
      </c>
      <c r="B896">
        <v>642442548</v>
      </c>
      <c r="C896" t="s">
        <v>9</v>
      </c>
      <c r="D896" t="s">
        <v>10</v>
      </c>
      <c r="E896" s="1">
        <v>41913</v>
      </c>
      <c r="F896">
        <f t="shared" si="13"/>
        <v>4</v>
      </c>
      <c r="G896" t="s">
        <v>59</v>
      </c>
      <c r="H896" t="s">
        <v>19</v>
      </c>
      <c r="I896">
        <v>1881</v>
      </c>
      <c r="J896">
        <v>327049.46999999997</v>
      </c>
    </row>
    <row r="897" spans="1:10" x14ac:dyDescent="0.3">
      <c r="A897">
        <v>896</v>
      </c>
      <c r="B897">
        <v>941909682</v>
      </c>
      <c r="C897" t="s">
        <v>20</v>
      </c>
      <c r="D897" t="s">
        <v>14</v>
      </c>
      <c r="E897" s="1">
        <v>41821</v>
      </c>
      <c r="F897">
        <f t="shared" si="13"/>
        <v>3</v>
      </c>
      <c r="G897" t="s">
        <v>42</v>
      </c>
      <c r="H897" t="s">
        <v>26</v>
      </c>
      <c r="I897">
        <v>861</v>
      </c>
      <c r="J897">
        <v>76275.990000000005</v>
      </c>
    </row>
    <row r="898" spans="1:10" x14ac:dyDescent="0.3">
      <c r="A898">
        <v>897</v>
      </c>
      <c r="B898">
        <v>219607102</v>
      </c>
      <c r="C898" t="s">
        <v>41</v>
      </c>
      <c r="D898" t="s">
        <v>10</v>
      </c>
      <c r="E898" s="1">
        <v>42552</v>
      </c>
      <c r="F898">
        <f t="shared" ref="F898:F961" si="14">ROUNDUP(MONTH(E898)/3,0)</f>
        <v>3</v>
      </c>
      <c r="G898" t="s">
        <v>35</v>
      </c>
      <c r="H898" t="s">
        <v>19</v>
      </c>
      <c r="I898">
        <v>5477</v>
      </c>
      <c r="J898">
        <v>85769.82</v>
      </c>
    </row>
    <row r="899" spans="1:10" x14ac:dyDescent="0.3">
      <c r="A899">
        <v>898</v>
      </c>
      <c r="B899">
        <v>778708636</v>
      </c>
      <c r="C899" t="s">
        <v>43</v>
      </c>
      <c r="D899" t="s">
        <v>10</v>
      </c>
      <c r="E899" s="1">
        <v>40391</v>
      </c>
      <c r="F899">
        <f t="shared" si="14"/>
        <v>3</v>
      </c>
      <c r="G899" t="s">
        <v>57</v>
      </c>
      <c r="H899" t="s">
        <v>16</v>
      </c>
      <c r="I899">
        <v>6045</v>
      </c>
      <c r="J899">
        <v>151487.70000000001</v>
      </c>
    </row>
    <row r="900" spans="1:10" x14ac:dyDescent="0.3">
      <c r="A900">
        <v>899</v>
      </c>
      <c r="B900">
        <v>942700612</v>
      </c>
      <c r="C900" t="s">
        <v>41</v>
      </c>
      <c r="D900" t="s">
        <v>14</v>
      </c>
      <c r="E900" s="1">
        <v>40269</v>
      </c>
      <c r="F900">
        <f t="shared" si="14"/>
        <v>2</v>
      </c>
      <c r="G900" t="s">
        <v>27</v>
      </c>
      <c r="H900" t="s">
        <v>28</v>
      </c>
      <c r="I900">
        <v>4915</v>
      </c>
      <c r="J900">
        <v>76968.899999999994</v>
      </c>
    </row>
    <row r="901" spans="1:10" x14ac:dyDescent="0.3">
      <c r="A901">
        <v>900</v>
      </c>
      <c r="B901">
        <v>905381858</v>
      </c>
      <c r="C901" t="s">
        <v>36</v>
      </c>
      <c r="D901" t="s">
        <v>10</v>
      </c>
      <c r="E901" s="1">
        <v>40603</v>
      </c>
      <c r="F901">
        <f t="shared" si="14"/>
        <v>1</v>
      </c>
      <c r="G901" t="s">
        <v>21</v>
      </c>
      <c r="H901" t="s">
        <v>19</v>
      </c>
      <c r="I901">
        <v>1466</v>
      </c>
      <c r="J901">
        <v>242960.18</v>
      </c>
    </row>
    <row r="902" spans="1:10" x14ac:dyDescent="0.3">
      <c r="A902">
        <v>901</v>
      </c>
      <c r="B902">
        <v>480863702</v>
      </c>
      <c r="C902" t="s">
        <v>47</v>
      </c>
      <c r="D902" t="s">
        <v>14</v>
      </c>
      <c r="E902" s="1">
        <v>40179</v>
      </c>
      <c r="F902">
        <f t="shared" si="14"/>
        <v>1</v>
      </c>
      <c r="G902" t="s">
        <v>48</v>
      </c>
      <c r="H902" t="s">
        <v>16</v>
      </c>
      <c r="I902">
        <v>7110</v>
      </c>
      <c r="J902">
        <v>406692</v>
      </c>
    </row>
    <row r="903" spans="1:10" x14ac:dyDescent="0.3">
      <c r="A903">
        <v>902</v>
      </c>
      <c r="B903">
        <v>453569972</v>
      </c>
      <c r="C903" t="s">
        <v>9</v>
      </c>
      <c r="D903" t="s">
        <v>14</v>
      </c>
      <c r="E903" s="1">
        <v>42370</v>
      </c>
      <c r="F903">
        <f t="shared" si="14"/>
        <v>1</v>
      </c>
      <c r="G903" t="s">
        <v>15</v>
      </c>
      <c r="H903" t="s">
        <v>16</v>
      </c>
      <c r="I903">
        <v>289</v>
      </c>
      <c r="J903">
        <v>50248.43</v>
      </c>
    </row>
    <row r="904" spans="1:10" x14ac:dyDescent="0.3">
      <c r="A904">
        <v>903</v>
      </c>
      <c r="B904">
        <v>328236997</v>
      </c>
      <c r="C904" t="s">
        <v>17</v>
      </c>
      <c r="D904" t="s">
        <v>10</v>
      </c>
      <c r="E904" s="1">
        <v>42583</v>
      </c>
      <c r="F904">
        <f t="shared" si="14"/>
        <v>3</v>
      </c>
      <c r="G904" t="s">
        <v>53</v>
      </c>
      <c r="H904" t="s">
        <v>16</v>
      </c>
      <c r="I904">
        <v>1476</v>
      </c>
      <c r="J904">
        <v>141489.35999999999</v>
      </c>
    </row>
    <row r="905" spans="1:10" x14ac:dyDescent="0.3">
      <c r="A905">
        <v>904</v>
      </c>
      <c r="B905">
        <v>579913604</v>
      </c>
      <c r="C905" t="s">
        <v>43</v>
      </c>
      <c r="D905" t="s">
        <v>10</v>
      </c>
      <c r="E905" s="1">
        <v>40817</v>
      </c>
      <c r="F905">
        <f t="shared" si="14"/>
        <v>4</v>
      </c>
      <c r="G905" t="s">
        <v>52</v>
      </c>
      <c r="H905" t="s">
        <v>19</v>
      </c>
      <c r="I905">
        <v>8177</v>
      </c>
      <c r="J905">
        <v>204915.62</v>
      </c>
    </row>
    <row r="906" spans="1:10" x14ac:dyDescent="0.3">
      <c r="A906">
        <v>905</v>
      </c>
      <c r="B906">
        <v>403961122</v>
      </c>
      <c r="C906" t="s">
        <v>9</v>
      </c>
      <c r="D906" t="s">
        <v>14</v>
      </c>
      <c r="E906" s="1">
        <v>40210</v>
      </c>
      <c r="F906">
        <f t="shared" si="14"/>
        <v>1</v>
      </c>
      <c r="G906" t="s">
        <v>35</v>
      </c>
      <c r="H906" t="s">
        <v>19</v>
      </c>
      <c r="I906">
        <v>9928</v>
      </c>
      <c r="J906">
        <v>1726181.36</v>
      </c>
    </row>
    <row r="907" spans="1:10" x14ac:dyDescent="0.3">
      <c r="A907">
        <v>906</v>
      </c>
      <c r="B907">
        <v>866053378</v>
      </c>
      <c r="C907" t="s">
        <v>9</v>
      </c>
      <c r="D907" t="s">
        <v>10</v>
      </c>
      <c r="E907" s="1">
        <v>42856</v>
      </c>
      <c r="F907">
        <f t="shared" si="14"/>
        <v>2</v>
      </c>
      <c r="G907" t="s">
        <v>49</v>
      </c>
      <c r="H907" t="s">
        <v>19</v>
      </c>
      <c r="I907">
        <v>3295</v>
      </c>
      <c r="J907">
        <v>572901.65</v>
      </c>
    </row>
    <row r="908" spans="1:10" x14ac:dyDescent="0.3">
      <c r="A908">
        <v>907</v>
      </c>
      <c r="B908">
        <v>852176702</v>
      </c>
      <c r="C908" t="s">
        <v>36</v>
      </c>
      <c r="D908" t="s">
        <v>10</v>
      </c>
      <c r="E908" s="1">
        <v>40269</v>
      </c>
      <c r="F908">
        <f t="shared" si="14"/>
        <v>2</v>
      </c>
      <c r="G908" t="s">
        <v>49</v>
      </c>
      <c r="H908" t="s">
        <v>19</v>
      </c>
      <c r="I908">
        <v>6878</v>
      </c>
      <c r="J908">
        <v>1139890.94</v>
      </c>
    </row>
    <row r="909" spans="1:10" x14ac:dyDescent="0.3">
      <c r="A909">
        <v>908</v>
      </c>
      <c r="B909">
        <v>218629920</v>
      </c>
      <c r="C909" t="s">
        <v>17</v>
      </c>
      <c r="D909" t="s">
        <v>14</v>
      </c>
      <c r="E909" s="1">
        <v>42248</v>
      </c>
      <c r="F909">
        <f t="shared" si="14"/>
        <v>3</v>
      </c>
      <c r="G909" t="s">
        <v>31</v>
      </c>
      <c r="H909" t="s">
        <v>19</v>
      </c>
      <c r="I909">
        <v>6307</v>
      </c>
      <c r="J909">
        <v>604589.02</v>
      </c>
    </row>
    <row r="910" spans="1:10" x14ac:dyDescent="0.3">
      <c r="A910">
        <v>909</v>
      </c>
      <c r="B910">
        <v>242024362</v>
      </c>
      <c r="C910" t="s">
        <v>17</v>
      </c>
      <c r="D910" t="s">
        <v>10</v>
      </c>
      <c r="E910" s="1">
        <v>42401</v>
      </c>
      <c r="F910">
        <f t="shared" si="14"/>
        <v>1</v>
      </c>
      <c r="G910" t="s">
        <v>56</v>
      </c>
      <c r="H910" t="s">
        <v>19</v>
      </c>
      <c r="I910">
        <v>9242</v>
      </c>
      <c r="J910">
        <v>885938.12</v>
      </c>
    </row>
    <row r="911" spans="1:10" x14ac:dyDescent="0.3">
      <c r="A911">
        <v>910</v>
      </c>
      <c r="B911">
        <v>469283854</v>
      </c>
      <c r="C911" t="s">
        <v>34</v>
      </c>
      <c r="D911" t="s">
        <v>10</v>
      </c>
      <c r="E911" s="1">
        <v>41671</v>
      </c>
      <c r="F911">
        <f t="shared" si="14"/>
        <v>1</v>
      </c>
      <c r="G911" t="s">
        <v>59</v>
      </c>
      <c r="H911" t="s">
        <v>19</v>
      </c>
      <c r="I911">
        <v>376</v>
      </c>
      <c r="J911">
        <v>20732.64</v>
      </c>
    </row>
    <row r="912" spans="1:10" x14ac:dyDescent="0.3">
      <c r="A912">
        <v>911</v>
      </c>
      <c r="B912">
        <v>967644727</v>
      </c>
      <c r="C912" t="s">
        <v>24</v>
      </c>
      <c r="D912" t="s">
        <v>14</v>
      </c>
      <c r="E912" s="1">
        <v>41365</v>
      </c>
      <c r="F912">
        <f t="shared" si="14"/>
        <v>2</v>
      </c>
      <c r="G912" t="s">
        <v>58</v>
      </c>
      <c r="H912" t="s">
        <v>26</v>
      </c>
      <c r="I912">
        <v>6433</v>
      </c>
      <c r="J912">
        <v>15503.53</v>
      </c>
    </row>
    <row r="913" spans="1:10" x14ac:dyDescent="0.3">
      <c r="A913">
        <v>912</v>
      </c>
      <c r="B913">
        <v>974655807</v>
      </c>
      <c r="C913" t="s">
        <v>9</v>
      </c>
      <c r="D913" t="s">
        <v>10</v>
      </c>
      <c r="E913" s="1">
        <v>41821</v>
      </c>
      <c r="F913">
        <f t="shared" si="14"/>
        <v>3</v>
      </c>
      <c r="G913" t="s">
        <v>35</v>
      </c>
      <c r="H913" t="s">
        <v>19</v>
      </c>
      <c r="I913">
        <v>1167</v>
      </c>
      <c r="J913">
        <v>202906.29</v>
      </c>
    </row>
    <row r="914" spans="1:10" x14ac:dyDescent="0.3">
      <c r="A914">
        <v>913</v>
      </c>
      <c r="B914">
        <v>248178422</v>
      </c>
      <c r="C914" t="s">
        <v>13</v>
      </c>
      <c r="D914" t="s">
        <v>14</v>
      </c>
      <c r="E914" s="1">
        <v>40969</v>
      </c>
      <c r="F914">
        <f t="shared" si="14"/>
        <v>1</v>
      </c>
      <c r="G914" t="s">
        <v>51</v>
      </c>
      <c r="H914" t="s">
        <v>26</v>
      </c>
      <c r="I914">
        <v>365</v>
      </c>
      <c r="J914">
        <v>23042.45</v>
      </c>
    </row>
    <row r="915" spans="1:10" x14ac:dyDescent="0.3">
      <c r="A915">
        <v>914</v>
      </c>
      <c r="B915">
        <v>416386401</v>
      </c>
      <c r="C915" t="s">
        <v>13</v>
      </c>
      <c r="D915" t="s">
        <v>10</v>
      </c>
      <c r="E915" s="1">
        <v>41275</v>
      </c>
      <c r="F915">
        <f t="shared" si="14"/>
        <v>1</v>
      </c>
      <c r="G915" t="s">
        <v>35</v>
      </c>
      <c r="H915" t="s">
        <v>19</v>
      </c>
      <c r="I915">
        <v>6844</v>
      </c>
      <c r="J915">
        <v>432061.72</v>
      </c>
    </row>
    <row r="916" spans="1:10" x14ac:dyDescent="0.3">
      <c r="A916">
        <v>915</v>
      </c>
      <c r="B916">
        <v>927766072</v>
      </c>
      <c r="C916" t="s">
        <v>34</v>
      </c>
      <c r="D916" t="s">
        <v>10</v>
      </c>
      <c r="E916" s="1">
        <v>42856</v>
      </c>
      <c r="F916">
        <f t="shared" si="14"/>
        <v>2</v>
      </c>
      <c r="G916" t="s">
        <v>15</v>
      </c>
      <c r="H916" t="s">
        <v>16</v>
      </c>
      <c r="I916">
        <v>5453</v>
      </c>
      <c r="J916">
        <v>300678.42</v>
      </c>
    </row>
    <row r="917" spans="1:10" x14ac:dyDescent="0.3">
      <c r="A917">
        <v>916</v>
      </c>
      <c r="B917">
        <v>401116263</v>
      </c>
      <c r="C917" t="s">
        <v>13</v>
      </c>
      <c r="D917" t="s">
        <v>14</v>
      </c>
      <c r="E917" s="1">
        <v>42064</v>
      </c>
      <c r="F917">
        <f t="shared" si="14"/>
        <v>1</v>
      </c>
      <c r="G917" t="s">
        <v>56</v>
      </c>
      <c r="H917" t="s">
        <v>19</v>
      </c>
      <c r="I917">
        <v>8071</v>
      </c>
      <c r="J917">
        <v>509522.23</v>
      </c>
    </row>
    <row r="918" spans="1:10" x14ac:dyDescent="0.3">
      <c r="A918">
        <v>917</v>
      </c>
      <c r="B918">
        <v>675548303</v>
      </c>
      <c r="C918" t="s">
        <v>24</v>
      </c>
      <c r="D918" t="s">
        <v>10</v>
      </c>
      <c r="E918" s="1">
        <v>41153</v>
      </c>
      <c r="F918">
        <f t="shared" si="14"/>
        <v>3</v>
      </c>
      <c r="G918" t="s">
        <v>46</v>
      </c>
      <c r="H918" t="s">
        <v>28</v>
      </c>
      <c r="I918">
        <v>8610</v>
      </c>
      <c r="J918">
        <v>20750.099999999999</v>
      </c>
    </row>
    <row r="919" spans="1:10" x14ac:dyDescent="0.3">
      <c r="A919">
        <v>918</v>
      </c>
      <c r="B919">
        <v>960486018</v>
      </c>
      <c r="C919" t="s">
        <v>17</v>
      </c>
      <c r="D919" t="s">
        <v>14</v>
      </c>
      <c r="E919" s="1">
        <v>41426</v>
      </c>
      <c r="F919">
        <f t="shared" si="14"/>
        <v>2</v>
      </c>
      <c r="G919" t="s">
        <v>42</v>
      </c>
      <c r="H919" t="s">
        <v>26</v>
      </c>
      <c r="I919">
        <v>8012</v>
      </c>
      <c r="J919">
        <v>768030.32</v>
      </c>
    </row>
    <row r="920" spans="1:10" x14ac:dyDescent="0.3">
      <c r="A920">
        <v>919</v>
      </c>
      <c r="B920">
        <v>985665738</v>
      </c>
      <c r="C920" t="s">
        <v>30</v>
      </c>
      <c r="D920" t="s">
        <v>10</v>
      </c>
      <c r="E920" s="1">
        <v>41730</v>
      </c>
      <c r="F920">
        <f t="shared" si="14"/>
        <v>2</v>
      </c>
      <c r="G920" t="s">
        <v>21</v>
      </c>
      <c r="H920" t="s">
        <v>19</v>
      </c>
      <c r="I920">
        <v>9250</v>
      </c>
      <c r="J920">
        <v>679320</v>
      </c>
    </row>
    <row r="921" spans="1:10" x14ac:dyDescent="0.3">
      <c r="A921">
        <v>920</v>
      </c>
      <c r="B921">
        <v>551136291</v>
      </c>
      <c r="C921" t="s">
        <v>30</v>
      </c>
      <c r="D921" t="s">
        <v>10</v>
      </c>
      <c r="E921" s="1">
        <v>42736</v>
      </c>
      <c r="F921">
        <f t="shared" si="14"/>
        <v>1</v>
      </c>
      <c r="G921" t="s">
        <v>59</v>
      </c>
      <c r="H921" t="s">
        <v>19</v>
      </c>
      <c r="I921">
        <v>2331</v>
      </c>
      <c r="J921">
        <v>171188.64</v>
      </c>
    </row>
    <row r="922" spans="1:10" x14ac:dyDescent="0.3">
      <c r="A922">
        <v>921</v>
      </c>
      <c r="B922">
        <v>877259004</v>
      </c>
      <c r="C922" t="s">
        <v>20</v>
      </c>
      <c r="D922" t="s">
        <v>14</v>
      </c>
      <c r="E922" s="1">
        <v>42767</v>
      </c>
      <c r="F922">
        <f t="shared" si="14"/>
        <v>1</v>
      </c>
      <c r="G922" t="s">
        <v>52</v>
      </c>
      <c r="H922" t="s">
        <v>19</v>
      </c>
      <c r="I922">
        <v>9289</v>
      </c>
      <c r="J922">
        <v>822912.51</v>
      </c>
    </row>
    <row r="923" spans="1:10" x14ac:dyDescent="0.3">
      <c r="A923">
        <v>922</v>
      </c>
      <c r="B923">
        <v>554707705</v>
      </c>
      <c r="C923" t="s">
        <v>41</v>
      </c>
      <c r="D923" t="s">
        <v>10</v>
      </c>
      <c r="E923" s="1">
        <v>41852</v>
      </c>
      <c r="F923">
        <f t="shared" si="14"/>
        <v>3</v>
      </c>
      <c r="G923" t="s">
        <v>54</v>
      </c>
      <c r="H923" t="s">
        <v>16</v>
      </c>
      <c r="I923">
        <v>9192</v>
      </c>
      <c r="J923">
        <v>143946.72</v>
      </c>
    </row>
    <row r="924" spans="1:10" x14ac:dyDescent="0.3">
      <c r="A924">
        <v>923</v>
      </c>
      <c r="B924">
        <v>494468724</v>
      </c>
      <c r="C924" t="s">
        <v>20</v>
      </c>
      <c r="D924" t="s">
        <v>10</v>
      </c>
      <c r="E924" s="1">
        <v>40452</v>
      </c>
      <c r="F924">
        <f t="shared" si="14"/>
        <v>4</v>
      </c>
      <c r="G924" t="s">
        <v>58</v>
      </c>
      <c r="H924" t="s">
        <v>26</v>
      </c>
      <c r="I924">
        <v>3139</v>
      </c>
      <c r="J924">
        <v>278084.01</v>
      </c>
    </row>
    <row r="925" spans="1:10" x14ac:dyDescent="0.3">
      <c r="A925">
        <v>924</v>
      </c>
      <c r="B925">
        <v>777840888</v>
      </c>
      <c r="C925" t="s">
        <v>43</v>
      </c>
      <c r="D925" t="s">
        <v>14</v>
      </c>
      <c r="E925" s="1">
        <v>40787</v>
      </c>
      <c r="F925">
        <f t="shared" si="14"/>
        <v>3</v>
      </c>
      <c r="G925" t="s">
        <v>55</v>
      </c>
      <c r="H925" t="s">
        <v>26</v>
      </c>
      <c r="I925">
        <v>9259</v>
      </c>
      <c r="J925">
        <v>232030.54</v>
      </c>
    </row>
    <row r="926" spans="1:10" x14ac:dyDescent="0.3">
      <c r="A926">
        <v>925</v>
      </c>
      <c r="B926">
        <v>206435525</v>
      </c>
      <c r="C926" t="s">
        <v>17</v>
      </c>
      <c r="D926" t="s">
        <v>10</v>
      </c>
      <c r="E926" s="1">
        <v>42705</v>
      </c>
      <c r="F926">
        <f t="shared" si="14"/>
        <v>4</v>
      </c>
      <c r="G926" t="s">
        <v>54</v>
      </c>
      <c r="H926" t="s">
        <v>16</v>
      </c>
      <c r="I926">
        <v>7714</v>
      </c>
      <c r="J926">
        <v>739464.04</v>
      </c>
    </row>
    <row r="927" spans="1:10" x14ac:dyDescent="0.3">
      <c r="A927">
        <v>926</v>
      </c>
      <c r="B927">
        <v>352176463</v>
      </c>
      <c r="C927" t="s">
        <v>40</v>
      </c>
      <c r="D927" t="s">
        <v>14</v>
      </c>
      <c r="E927" s="1">
        <v>42278</v>
      </c>
      <c r="F927">
        <f t="shared" si="14"/>
        <v>4</v>
      </c>
      <c r="G927" t="s">
        <v>54</v>
      </c>
      <c r="H927" t="s">
        <v>16</v>
      </c>
      <c r="I927">
        <v>5696</v>
      </c>
      <c r="J927">
        <v>719120</v>
      </c>
    </row>
    <row r="928" spans="1:10" x14ac:dyDescent="0.3">
      <c r="A928">
        <v>927</v>
      </c>
      <c r="B928">
        <v>607300031</v>
      </c>
      <c r="C928" t="s">
        <v>9</v>
      </c>
      <c r="D928" t="s">
        <v>10</v>
      </c>
      <c r="E928" s="1">
        <v>41548</v>
      </c>
      <c r="F928">
        <f t="shared" si="14"/>
        <v>4</v>
      </c>
      <c r="G928" t="s">
        <v>50</v>
      </c>
      <c r="H928" t="s">
        <v>16</v>
      </c>
      <c r="I928">
        <v>2429</v>
      </c>
      <c r="J928">
        <v>422330.23</v>
      </c>
    </row>
    <row r="929" spans="1:10" x14ac:dyDescent="0.3">
      <c r="A929">
        <v>928</v>
      </c>
      <c r="B929">
        <v>434355056</v>
      </c>
      <c r="C929" t="s">
        <v>17</v>
      </c>
      <c r="D929" t="s">
        <v>14</v>
      </c>
      <c r="E929" s="1">
        <v>41487</v>
      </c>
      <c r="F929">
        <f t="shared" si="14"/>
        <v>3</v>
      </c>
      <c r="G929" t="s">
        <v>21</v>
      </c>
      <c r="H929" t="s">
        <v>19</v>
      </c>
      <c r="I929">
        <v>4168</v>
      </c>
      <c r="J929">
        <v>399544.48</v>
      </c>
    </row>
    <row r="930" spans="1:10" x14ac:dyDescent="0.3">
      <c r="A930">
        <v>929</v>
      </c>
      <c r="B930">
        <v>716202867</v>
      </c>
      <c r="C930" t="s">
        <v>24</v>
      </c>
      <c r="D930" t="s">
        <v>10</v>
      </c>
      <c r="E930" s="1">
        <v>40756</v>
      </c>
      <c r="F930">
        <f t="shared" si="14"/>
        <v>3</v>
      </c>
      <c r="G930" t="s">
        <v>59</v>
      </c>
      <c r="H930" t="s">
        <v>19</v>
      </c>
      <c r="I930">
        <v>9199</v>
      </c>
      <c r="J930">
        <v>22169.59</v>
      </c>
    </row>
    <row r="931" spans="1:10" x14ac:dyDescent="0.3">
      <c r="A931">
        <v>930</v>
      </c>
      <c r="B931">
        <v>606017291</v>
      </c>
      <c r="C931" t="s">
        <v>43</v>
      </c>
      <c r="D931" t="s">
        <v>14</v>
      </c>
      <c r="E931" s="1">
        <v>42491</v>
      </c>
      <c r="F931">
        <f t="shared" si="14"/>
        <v>2</v>
      </c>
      <c r="G931" t="s">
        <v>58</v>
      </c>
      <c r="H931" t="s">
        <v>26</v>
      </c>
      <c r="I931">
        <v>2838</v>
      </c>
      <c r="J931">
        <v>71120.28</v>
      </c>
    </row>
    <row r="932" spans="1:10" x14ac:dyDescent="0.3">
      <c r="A932">
        <v>931</v>
      </c>
      <c r="B932">
        <v>677284657</v>
      </c>
      <c r="C932" t="s">
        <v>20</v>
      </c>
      <c r="D932" t="s">
        <v>10</v>
      </c>
      <c r="E932" s="1">
        <v>42005</v>
      </c>
      <c r="F932">
        <f t="shared" si="14"/>
        <v>1</v>
      </c>
      <c r="G932" t="s">
        <v>55</v>
      </c>
      <c r="H932" t="s">
        <v>26</v>
      </c>
      <c r="I932">
        <v>2436</v>
      </c>
      <c r="J932">
        <v>215805.24</v>
      </c>
    </row>
    <row r="933" spans="1:10" x14ac:dyDescent="0.3">
      <c r="A933">
        <v>932</v>
      </c>
      <c r="B933">
        <v>673803794</v>
      </c>
      <c r="C933" t="s">
        <v>24</v>
      </c>
      <c r="D933" t="s">
        <v>14</v>
      </c>
      <c r="E933" s="1">
        <v>41821</v>
      </c>
      <c r="F933">
        <f t="shared" si="14"/>
        <v>3</v>
      </c>
      <c r="G933" t="s">
        <v>51</v>
      </c>
      <c r="H933" t="s">
        <v>26</v>
      </c>
      <c r="I933">
        <v>2371</v>
      </c>
      <c r="J933">
        <v>5714.11</v>
      </c>
    </row>
    <row r="934" spans="1:10" x14ac:dyDescent="0.3">
      <c r="A934">
        <v>933</v>
      </c>
      <c r="B934">
        <v>859686028</v>
      </c>
      <c r="C934" t="s">
        <v>20</v>
      </c>
      <c r="D934" t="s">
        <v>10</v>
      </c>
      <c r="E934" s="1">
        <v>42156</v>
      </c>
      <c r="F934">
        <f t="shared" si="14"/>
        <v>2</v>
      </c>
      <c r="G934" t="s">
        <v>42</v>
      </c>
      <c r="H934" t="s">
        <v>26</v>
      </c>
      <c r="I934">
        <v>9055</v>
      </c>
      <c r="J934">
        <v>802182.45</v>
      </c>
    </row>
    <row r="935" spans="1:10" x14ac:dyDescent="0.3">
      <c r="A935">
        <v>934</v>
      </c>
      <c r="B935">
        <v>669355189</v>
      </c>
      <c r="C935" t="s">
        <v>30</v>
      </c>
      <c r="D935" t="s">
        <v>14</v>
      </c>
      <c r="E935" s="1">
        <v>42217</v>
      </c>
      <c r="F935">
        <f t="shared" si="14"/>
        <v>3</v>
      </c>
      <c r="G935" t="s">
        <v>27</v>
      </c>
      <c r="H935" t="s">
        <v>28</v>
      </c>
      <c r="I935">
        <v>5930</v>
      </c>
      <c r="J935">
        <v>435499.2</v>
      </c>
    </row>
    <row r="936" spans="1:10" x14ac:dyDescent="0.3">
      <c r="A936">
        <v>935</v>
      </c>
      <c r="B936">
        <v>957547605</v>
      </c>
      <c r="C936" t="s">
        <v>24</v>
      </c>
      <c r="D936" t="s">
        <v>10</v>
      </c>
      <c r="E936" s="1">
        <v>41548</v>
      </c>
      <c r="F936">
        <f t="shared" si="14"/>
        <v>4</v>
      </c>
      <c r="G936" t="s">
        <v>11</v>
      </c>
      <c r="H936" t="s">
        <v>12</v>
      </c>
      <c r="I936">
        <v>8470</v>
      </c>
      <c r="J936">
        <v>20412.7</v>
      </c>
    </row>
    <row r="937" spans="1:10" x14ac:dyDescent="0.3">
      <c r="A937">
        <v>936</v>
      </c>
      <c r="B937">
        <v>849312102</v>
      </c>
      <c r="C937" t="s">
        <v>43</v>
      </c>
      <c r="D937" t="s">
        <v>14</v>
      </c>
      <c r="E937" s="1">
        <v>41548</v>
      </c>
      <c r="F937">
        <f t="shared" si="14"/>
        <v>4</v>
      </c>
      <c r="G937" t="s">
        <v>48</v>
      </c>
      <c r="H937" t="s">
        <v>16</v>
      </c>
      <c r="I937">
        <v>9180</v>
      </c>
      <c r="J937">
        <v>230050.8</v>
      </c>
    </row>
    <row r="938" spans="1:10" x14ac:dyDescent="0.3">
      <c r="A938">
        <v>937</v>
      </c>
      <c r="B938">
        <v>890010011</v>
      </c>
      <c r="C938" t="s">
        <v>43</v>
      </c>
      <c r="D938" t="s">
        <v>10</v>
      </c>
      <c r="E938" s="1">
        <v>41153</v>
      </c>
      <c r="F938">
        <f t="shared" si="14"/>
        <v>3</v>
      </c>
      <c r="G938" t="s">
        <v>54</v>
      </c>
      <c r="H938" t="s">
        <v>16</v>
      </c>
      <c r="I938">
        <v>2595</v>
      </c>
      <c r="J938">
        <v>65030.7</v>
      </c>
    </row>
    <row r="939" spans="1:10" x14ac:dyDescent="0.3">
      <c r="A939">
        <v>938</v>
      </c>
      <c r="B939">
        <v>795315158</v>
      </c>
      <c r="C939" t="s">
        <v>20</v>
      </c>
      <c r="D939" t="s">
        <v>14</v>
      </c>
      <c r="E939" s="1">
        <v>41183</v>
      </c>
      <c r="F939">
        <f t="shared" si="14"/>
        <v>4</v>
      </c>
      <c r="G939" t="s">
        <v>49</v>
      </c>
      <c r="H939" t="s">
        <v>19</v>
      </c>
      <c r="I939">
        <v>284</v>
      </c>
      <c r="J939">
        <v>25159.56</v>
      </c>
    </row>
    <row r="940" spans="1:10" x14ac:dyDescent="0.3">
      <c r="A940">
        <v>939</v>
      </c>
      <c r="B940">
        <v>801213872</v>
      </c>
      <c r="C940" t="s">
        <v>30</v>
      </c>
      <c r="D940" t="s">
        <v>10</v>
      </c>
      <c r="E940" s="1">
        <v>42705</v>
      </c>
      <c r="F940">
        <f t="shared" si="14"/>
        <v>4</v>
      </c>
      <c r="G940" t="s">
        <v>15</v>
      </c>
      <c r="H940" t="s">
        <v>16</v>
      </c>
      <c r="I940">
        <v>5844</v>
      </c>
      <c r="J940">
        <v>429183.36</v>
      </c>
    </row>
    <row r="941" spans="1:10" x14ac:dyDescent="0.3">
      <c r="A941">
        <v>940</v>
      </c>
      <c r="B941">
        <v>314004981</v>
      </c>
      <c r="C941" t="s">
        <v>24</v>
      </c>
      <c r="D941" t="s">
        <v>10</v>
      </c>
      <c r="E941" s="1">
        <v>40360</v>
      </c>
      <c r="F941">
        <f t="shared" si="14"/>
        <v>3</v>
      </c>
      <c r="G941" t="s">
        <v>44</v>
      </c>
      <c r="H941" t="s">
        <v>26</v>
      </c>
      <c r="I941">
        <v>9907</v>
      </c>
      <c r="J941">
        <v>23875.87</v>
      </c>
    </row>
    <row r="942" spans="1:10" x14ac:dyDescent="0.3">
      <c r="A942">
        <v>941</v>
      </c>
      <c r="B942">
        <v>160299813</v>
      </c>
      <c r="C942" t="s">
        <v>20</v>
      </c>
      <c r="D942" t="s">
        <v>14</v>
      </c>
      <c r="E942" s="1">
        <v>40238</v>
      </c>
      <c r="F942">
        <f t="shared" si="14"/>
        <v>1</v>
      </c>
      <c r="G942" t="s">
        <v>35</v>
      </c>
      <c r="H942" t="s">
        <v>19</v>
      </c>
      <c r="I942">
        <v>5132</v>
      </c>
      <c r="J942">
        <v>454643.88</v>
      </c>
    </row>
    <row r="943" spans="1:10" x14ac:dyDescent="0.3">
      <c r="A943">
        <v>942</v>
      </c>
      <c r="B943">
        <v>337022197</v>
      </c>
      <c r="C943" t="s">
        <v>41</v>
      </c>
      <c r="D943" t="s">
        <v>10</v>
      </c>
      <c r="E943" s="1">
        <v>41883</v>
      </c>
      <c r="F943">
        <f t="shared" si="14"/>
        <v>3</v>
      </c>
      <c r="G943" t="s">
        <v>11</v>
      </c>
      <c r="H943" t="s">
        <v>12</v>
      </c>
      <c r="I943">
        <v>1212</v>
      </c>
      <c r="J943">
        <v>18979.919999999998</v>
      </c>
    </row>
    <row r="944" spans="1:10" x14ac:dyDescent="0.3">
      <c r="A944">
        <v>943</v>
      </c>
      <c r="B944">
        <v>461408460</v>
      </c>
      <c r="C944" t="s">
        <v>34</v>
      </c>
      <c r="D944" t="s">
        <v>10</v>
      </c>
      <c r="E944" s="1">
        <v>42430</v>
      </c>
      <c r="F944">
        <f t="shared" si="14"/>
        <v>1</v>
      </c>
      <c r="G944" t="s">
        <v>55</v>
      </c>
      <c r="H944" t="s">
        <v>26</v>
      </c>
      <c r="I944">
        <v>9872</v>
      </c>
      <c r="J944">
        <v>544342.07999999996</v>
      </c>
    </row>
    <row r="945" spans="1:10" x14ac:dyDescent="0.3">
      <c r="A945">
        <v>944</v>
      </c>
      <c r="B945">
        <v>221007430</v>
      </c>
      <c r="C945" t="s">
        <v>40</v>
      </c>
      <c r="D945" t="s">
        <v>10</v>
      </c>
      <c r="E945" s="1">
        <v>40817</v>
      </c>
      <c r="F945">
        <f t="shared" si="14"/>
        <v>4</v>
      </c>
      <c r="G945" t="s">
        <v>53</v>
      </c>
      <c r="H945" t="s">
        <v>16</v>
      </c>
      <c r="I945">
        <v>9865</v>
      </c>
      <c r="J945">
        <v>1245456.25</v>
      </c>
    </row>
    <row r="946" spans="1:10" x14ac:dyDescent="0.3">
      <c r="A946">
        <v>945</v>
      </c>
      <c r="B946">
        <v>723680436</v>
      </c>
      <c r="C946" t="s">
        <v>34</v>
      </c>
      <c r="D946" t="s">
        <v>10</v>
      </c>
      <c r="E946" s="1">
        <v>41913</v>
      </c>
      <c r="F946">
        <f t="shared" si="14"/>
        <v>4</v>
      </c>
      <c r="G946" t="s">
        <v>35</v>
      </c>
      <c r="H946" t="s">
        <v>19</v>
      </c>
      <c r="I946">
        <v>1978</v>
      </c>
      <c r="J946">
        <v>109066.92</v>
      </c>
    </row>
    <row r="947" spans="1:10" x14ac:dyDescent="0.3">
      <c r="A947">
        <v>946</v>
      </c>
      <c r="B947">
        <v>447601306</v>
      </c>
      <c r="C947" t="s">
        <v>24</v>
      </c>
      <c r="D947" t="s">
        <v>10</v>
      </c>
      <c r="E947" s="1">
        <v>41306</v>
      </c>
      <c r="F947">
        <f t="shared" si="14"/>
        <v>1</v>
      </c>
      <c r="G947" t="s">
        <v>25</v>
      </c>
      <c r="H947" t="s">
        <v>26</v>
      </c>
      <c r="I947">
        <v>4028</v>
      </c>
      <c r="J947">
        <v>9707.48</v>
      </c>
    </row>
    <row r="948" spans="1:10" x14ac:dyDescent="0.3">
      <c r="A948">
        <v>947</v>
      </c>
      <c r="B948">
        <v>191256368</v>
      </c>
      <c r="C948" t="s">
        <v>30</v>
      </c>
      <c r="D948" t="s">
        <v>10</v>
      </c>
      <c r="E948" s="1">
        <v>40452</v>
      </c>
      <c r="F948">
        <f t="shared" si="14"/>
        <v>4</v>
      </c>
      <c r="G948" t="s">
        <v>21</v>
      </c>
      <c r="H948" t="s">
        <v>19</v>
      </c>
      <c r="I948">
        <v>5864</v>
      </c>
      <c r="J948">
        <v>430652.15999999997</v>
      </c>
    </row>
    <row r="949" spans="1:10" x14ac:dyDescent="0.3">
      <c r="A949">
        <v>948</v>
      </c>
      <c r="B949">
        <v>823444449</v>
      </c>
      <c r="C949" t="s">
        <v>13</v>
      </c>
      <c r="D949" t="s">
        <v>10</v>
      </c>
      <c r="E949" s="1">
        <v>42644</v>
      </c>
      <c r="F949">
        <f t="shared" si="14"/>
        <v>4</v>
      </c>
      <c r="G949" t="s">
        <v>11</v>
      </c>
      <c r="H949" t="s">
        <v>12</v>
      </c>
      <c r="I949">
        <v>4366</v>
      </c>
      <c r="J949">
        <v>275625.58</v>
      </c>
    </row>
    <row r="950" spans="1:10" x14ac:dyDescent="0.3">
      <c r="A950">
        <v>949</v>
      </c>
      <c r="B950">
        <v>133276879</v>
      </c>
      <c r="C950" t="s">
        <v>41</v>
      </c>
      <c r="D950" t="s">
        <v>14</v>
      </c>
      <c r="E950" s="1">
        <v>40422</v>
      </c>
      <c r="F950">
        <f t="shared" si="14"/>
        <v>3</v>
      </c>
      <c r="G950" t="s">
        <v>56</v>
      </c>
      <c r="H950" t="s">
        <v>19</v>
      </c>
      <c r="I950">
        <v>8445</v>
      </c>
      <c r="J950">
        <v>132248.70000000001</v>
      </c>
    </row>
    <row r="951" spans="1:10" x14ac:dyDescent="0.3">
      <c r="A951">
        <v>950</v>
      </c>
      <c r="B951">
        <v>480177485</v>
      </c>
      <c r="C951" t="s">
        <v>47</v>
      </c>
      <c r="D951" t="s">
        <v>14</v>
      </c>
      <c r="E951" s="1">
        <v>41974</v>
      </c>
      <c r="F951">
        <f t="shared" si="14"/>
        <v>4</v>
      </c>
      <c r="G951" t="s">
        <v>46</v>
      </c>
      <c r="H951" t="s">
        <v>28</v>
      </c>
      <c r="I951">
        <v>4043</v>
      </c>
      <c r="J951">
        <v>231259.6</v>
      </c>
    </row>
    <row r="952" spans="1:10" x14ac:dyDescent="0.3">
      <c r="A952">
        <v>951</v>
      </c>
      <c r="B952">
        <v>243882596</v>
      </c>
      <c r="C952" t="s">
        <v>36</v>
      </c>
      <c r="D952" t="s">
        <v>10</v>
      </c>
      <c r="E952" s="1">
        <v>42095</v>
      </c>
      <c r="F952">
        <f t="shared" si="14"/>
        <v>2</v>
      </c>
      <c r="G952" t="s">
        <v>52</v>
      </c>
      <c r="H952" t="s">
        <v>19</v>
      </c>
      <c r="I952">
        <v>9135</v>
      </c>
      <c r="J952">
        <v>1513943.55</v>
      </c>
    </row>
    <row r="953" spans="1:10" x14ac:dyDescent="0.3">
      <c r="A953">
        <v>952</v>
      </c>
      <c r="B953">
        <v>574441039</v>
      </c>
      <c r="C953" t="s">
        <v>9</v>
      </c>
      <c r="D953" t="s">
        <v>14</v>
      </c>
      <c r="E953" s="1">
        <v>42795</v>
      </c>
      <c r="F953">
        <f t="shared" si="14"/>
        <v>1</v>
      </c>
      <c r="G953" t="s">
        <v>32</v>
      </c>
      <c r="H953" t="s">
        <v>26</v>
      </c>
      <c r="I953">
        <v>8724</v>
      </c>
      <c r="J953">
        <v>1516841.88</v>
      </c>
    </row>
    <row r="954" spans="1:10" x14ac:dyDescent="0.3">
      <c r="A954">
        <v>953</v>
      </c>
      <c r="B954">
        <v>442214143</v>
      </c>
      <c r="C954" t="s">
        <v>36</v>
      </c>
      <c r="D954" t="s">
        <v>14</v>
      </c>
      <c r="E954" s="1">
        <v>40969</v>
      </c>
      <c r="F954">
        <f t="shared" si="14"/>
        <v>1</v>
      </c>
      <c r="G954" t="s">
        <v>50</v>
      </c>
      <c r="H954" t="s">
        <v>16</v>
      </c>
      <c r="I954">
        <v>9847</v>
      </c>
      <c r="J954">
        <v>1631943.31</v>
      </c>
    </row>
    <row r="955" spans="1:10" x14ac:dyDescent="0.3">
      <c r="A955">
        <v>954</v>
      </c>
      <c r="B955">
        <v>687875735</v>
      </c>
      <c r="C955" t="s">
        <v>30</v>
      </c>
      <c r="D955" t="s">
        <v>10</v>
      </c>
      <c r="E955" s="1">
        <v>40848</v>
      </c>
      <c r="F955">
        <f t="shared" si="14"/>
        <v>4</v>
      </c>
      <c r="G955" t="s">
        <v>55</v>
      </c>
      <c r="H955" t="s">
        <v>26</v>
      </c>
      <c r="I955">
        <v>6571</v>
      </c>
      <c r="J955">
        <v>482574.24</v>
      </c>
    </row>
    <row r="956" spans="1:10" x14ac:dyDescent="0.3">
      <c r="A956">
        <v>955</v>
      </c>
      <c r="B956">
        <v>872412145</v>
      </c>
      <c r="C956" t="s">
        <v>30</v>
      </c>
      <c r="D956" t="s">
        <v>10</v>
      </c>
      <c r="E956" s="1">
        <v>41518</v>
      </c>
      <c r="F956">
        <f t="shared" si="14"/>
        <v>3</v>
      </c>
      <c r="G956" t="s">
        <v>31</v>
      </c>
      <c r="H956" t="s">
        <v>19</v>
      </c>
      <c r="I956">
        <v>4995</v>
      </c>
      <c r="J956">
        <v>366832.8</v>
      </c>
    </row>
    <row r="957" spans="1:10" x14ac:dyDescent="0.3">
      <c r="A957">
        <v>956</v>
      </c>
      <c r="B957">
        <v>627122199</v>
      </c>
      <c r="C957" t="s">
        <v>24</v>
      </c>
      <c r="D957" t="s">
        <v>10</v>
      </c>
      <c r="E957" s="1">
        <v>41000</v>
      </c>
      <c r="F957">
        <f t="shared" si="14"/>
        <v>2</v>
      </c>
      <c r="G957" t="s">
        <v>52</v>
      </c>
      <c r="H957" t="s">
        <v>19</v>
      </c>
      <c r="I957">
        <v>8250</v>
      </c>
      <c r="J957">
        <v>19882.5</v>
      </c>
    </row>
    <row r="958" spans="1:10" x14ac:dyDescent="0.3">
      <c r="A958">
        <v>957</v>
      </c>
      <c r="B958">
        <v>103617227</v>
      </c>
      <c r="C958" t="s">
        <v>24</v>
      </c>
      <c r="D958" t="s">
        <v>14</v>
      </c>
      <c r="E958" s="1">
        <v>40575</v>
      </c>
      <c r="F958">
        <f t="shared" si="14"/>
        <v>1</v>
      </c>
      <c r="G958" t="s">
        <v>25</v>
      </c>
      <c r="H958" t="s">
        <v>26</v>
      </c>
      <c r="I958">
        <v>1495</v>
      </c>
      <c r="J958">
        <v>3602.95</v>
      </c>
    </row>
    <row r="959" spans="1:10" x14ac:dyDescent="0.3">
      <c r="A959">
        <v>958</v>
      </c>
      <c r="B959">
        <v>423821055</v>
      </c>
      <c r="C959" t="s">
        <v>13</v>
      </c>
      <c r="D959" t="s">
        <v>10</v>
      </c>
      <c r="E959" s="1">
        <v>40452</v>
      </c>
      <c r="F959">
        <f t="shared" si="14"/>
        <v>4</v>
      </c>
      <c r="G959" t="s">
        <v>57</v>
      </c>
      <c r="H959" t="s">
        <v>16</v>
      </c>
      <c r="I959">
        <v>6923</v>
      </c>
      <c r="J959">
        <v>437048.99</v>
      </c>
    </row>
    <row r="960" spans="1:10" x14ac:dyDescent="0.3">
      <c r="A960">
        <v>959</v>
      </c>
      <c r="B960">
        <v>529970014</v>
      </c>
      <c r="C960" t="s">
        <v>13</v>
      </c>
      <c r="D960" t="s">
        <v>14</v>
      </c>
      <c r="E960" s="1">
        <v>41244</v>
      </c>
      <c r="F960">
        <f t="shared" si="14"/>
        <v>4</v>
      </c>
      <c r="G960" t="s">
        <v>58</v>
      </c>
      <c r="H960" t="s">
        <v>26</v>
      </c>
      <c r="I960">
        <v>8759</v>
      </c>
      <c r="J960">
        <v>552955.67000000004</v>
      </c>
    </row>
    <row r="961" spans="1:10" x14ac:dyDescent="0.3">
      <c r="A961">
        <v>960</v>
      </c>
      <c r="B961">
        <v>334612929</v>
      </c>
      <c r="C961" t="s">
        <v>43</v>
      </c>
      <c r="D961" t="s">
        <v>10</v>
      </c>
      <c r="E961" s="1">
        <v>42583</v>
      </c>
      <c r="F961">
        <f t="shared" si="14"/>
        <v>3</v>
      </c>
      <c r="G961" t="s">
        <v>53</v>
      </c>
      <c r="H961" t="s">
        <v>16</v>
      </c>
      <c r="I961">
        <v>8256</v>
      </c>
      <c r="J961">
        <v>206895.35999999999</v>
      </c>
    </row>
    <row r="962" spans="1:10" x14ac:dyDescent="0.3">
      <c r="A962">
        <v>961</v>
      </c>
      <c r="B962">
        <v>270611131</v>
      </c>
      <c r="C962" t="s">
        <v>41</v>
      </c>
      <c r="D962" t="s">
        <v>10</v>
      </c>
      <c r="E962" s="1">
        <v>41730</v>
      </c>
      <c r="F962">
        <f t="shared" ref="F962:F1001" si="15">ROUNDUP(MONTH(E962)/3,0)</f>
        <v>2</v>
      </c>
      <c r="G962" t="s">
        <v>50</v>
      </c>
      <c r="H962" t="s">
        <v>16</v>
      </c>
      <c r="I962">
        <v>8702</v>
      </c>
      <c r="J962">
        <v>136273.32</v>
      </c>
    </row>
    <row r="963" spans="1:10" x14ac:dyDescent="0.3">
      <c r="A963">
        <v>962</v>
      </c>
      <c r="B963">
        <v>841138446</v>
      </c>
      <c r="C963" t="s">
        <v>40</v>
      </c>
      <c r="D963" t="s">
        <v>14</v>
      </c>
      <c r="E963" s="1">
        <v>40483</v>
      </c>
      <c r="F963">
        <f t="shared" si="15"/>
        <v>4</v>
      </c>
      <c r="G963" t="s">
        <v>31</v>
      </c>
      <c r="H963" t="s">
        <v>19</v>
      </c>
      <c r="I963">
        <v>413</v>
      </c>
      <c r="J963">
        <v>52141.25</v>
      </c>
    </row>
    <row r="964" spans="1:10" x14ac:dyDescent="0.3">
      <c r="A964">
        <v>963</v>
      </c>
      <c r="B964">
        <v>369681203</v>
      </c>
      <c r="C964" t="s">
        <v>36</v>
      </c>
      <c r="D964" t="s">
        <v>14</v>
      </c>
      <c r="E964" s="1">
        <v>41000</v>
      </c>
      <c r="F964">
        <f t="shared" si="15"/>
        <v>2</v>
      </c>
      <c r="G964" t="s">
        <v>58</v>
      </c>
      <c r="H964" t="s">
        <v>26</v>
      </c>
      <c r="I964">
        <v>5738</v>
      </c>
      <c r="J964">
        <v>950958.74</v>
      </c>
    </row>
    <row r="965" spans="1:10" x14ac:dyDescent="0.3">
      <c r="A965">
        <v>964</v>
      </c>
      <c r="B965">
        <v>850038230</v>
      </c>
      <c r="C965" t="s">
        <v>36</v>
      </c>
      <c r="D965" t="s">
        <v>10</v>
      </c>
      <c r="E965" s="1">
        <v>41730</v>
      </c>
      <c r="F965">
        <f t="shared" si="15"/>
        <v>2</v>
      </c>
      <c r="G965" t="s">
        <v>37</v>
      </c>
      <c r="H965" t="s">
        <v>26</v>
      </c>
      <c r="I965">
        <v>4057</v>
      </c>
      <c r="J965">
        <v>672366.61</v>
      </c>
    </row>
    <row r="966" spans="1:10" x14ac:dyDescent="0.3">
      <c r="A966">
        <v>965</v>
      </c>
      <c r="B966">
        <v>296320855</v>
      </c>
      <c r="C966" t="s">
        <v>41</v>
      </c>
      <c r="D966" t="s">
        <v>14</v>
      </c>
      <c r="E966" s="1">
        <v>41426</v>
      </c>
      <c r="F966">
        <f t="shared" si="15"/>
        <v>2</v>
      </c>
      <c r="G966" t="s">
        <v>37</v>
      </c>
      <c r="H966" t="s">
        <v>26</v>
      </c>
      <c r="I966">
        <v>6781</v>
      </c>
      <c r="J966">
        <v>106190.46</v>
      </c>
    </row>
    <row r="967" spans="1:10" x14ac:dyDescent="0.3">
      <c r="A967">
        <v>966</v>
      </c>
      <c r="B967">
        <v>392952907</v>
      </c>
      <c r="C967" t="s">
        <v>9</v>
      </c>
      <c r="D967" t="s">
        <v>10</v>
      </c>
      <c r="E967" s="1">
        <v>40725</v>
      </c>
      <c r="F967">
        <f t="shared" si="15"/>
        <v>3</v>
      </c>
      <c r="G967" t="s">
        <v>31</v>
      </c>
      <c r="H967" t="s">
        <v>19</v>
      </c>
      <c r="I967">
        <v>2352</v>
      </c>
      <c r="J967">
        <v>408942.24</v>
      </c>
    </row>
    <row r="968" spans="1:10" x14ac:dyDescent="0.3">
      <c r="A968">
        <v>967</v>
      </c>
      <c r="B968">
        <v>644670712</v>
      </c>
      <c r="C968" t="s">
        <v>34</v>
      </c>
      <c r="D968" t="s">
        <v>14</v>
      </c>
      <c r="E968" s="1">
        <v>40575</v>
      </c>
      <c r="F968">
        <f t="shared" si="15"/>
        <v>1</v>
      </c>
      <c r="G968" t="s">
        <v>21</v>
      </c>
      <c r="H968" t="s">
        <v>19</v>
      </c>
      <c r="I968">
        <v>1245</v>
      </c>
      <c r="J968">
        <v>68649.3</v>
      </c>
    </row>
    <row r="969" spans="1:10" x14ac:dyDescent="0.3">
      <c r="A969">
        <v>968</v>
      </c>
      <c r="B969">
        <v>626523101</v>
      </c>
      <c r="C969" t="s">
        <v>47</v>
      </c>
      <c r="D969" t="s">
        <v>14</v>
      </c>
      <c r="E969" s="1">
        <v>40909</v>
      </c>
      <c r="F969">
        <f t="shared" si="15"/>
        <v>1</v>
      </c>
      <c r="G969" t="s">
        <v>39</v>
      </c>
      <c r="H969" t="s">
        <v>28</v>
      </c>
      <c r="I969">
        <v>963</v>
      </c>
      <c r="J969">
        <v>55083.6</v>
      </c>
    </row>
    <row r="970" spans="1:10" x14ac:dyDescent="0.3">
      <c r="A970">
        <v>969</v>
      </c>
      <c r="B970">
        <v>433871400</v>
      </c>
      <c r="C970" t="s">
        <v>13</v>
      </c>
      <c r="D970" t="s">
        <v>10</v>
      </c>
      <c r="E970" s="1">
        <v>42156</v>
      </c>
      <c r="F970">
        <f t="shared" si="15"/>
        <v>2</v>
      </c>
      <c r="G970" t="s">
        <v>33</v>
      </c>
      <c r="H970" t="s">
        <v>12</v>
      </c>
      <c r="I970">
        <v>1044</v>
      </c>
      <c r="J970">
        <v>65907.72</v>
      </c>
    </row>
    <row r="971" spans="1:10" x14ac:dyDescent="0.3">
      <c r="A971">
        <v>970</v>
      </c>
      <c r="B971">
        <v>232389438</v>
      </c>
      <c r="C971" t="s">
        <v>34</v>
      </c>
      <c r="D971" t="s">
        <v>10</v>
      </c>
      <c r="E971" s="1">
        <v>40909</v>
      </c>
      <c r="F971">
        <f t="shared" si="15"/>
        <v>1</v>
      </c>
      <c r="G971" t="s">
        <v>55</v>
      </c>
      <c r="H971" t="s">
        <v>26</v>
      </c>
      <c r="I971">
        <v>8054</v>
      </c>
      <c r="J971">
        <v>444097.56</v>
      </c>
    </row>
    <row r="972" spans="1:10" x14ac:dyDescent="0.3">
      <c r="A972">
        <v>971</v>
      </c>
      <c r="B972">
        <v>708063542</v>
      </c>
      <c r="C972" t="s">
        <v>20</v>
      </c>
      <c r="D972" t="s">
        <v>10</v>
      </c>
      <c r="E972" s="1">
        <v>42401</v>
      </c>
      <c r="F972">
        <f t="shared" si="15"/>
        <v>1</v>
      </c>
      <c r="G972" t="s">
        <v>27</v>
      </c>
      <c r="H972" t="s">
        <v>28</v>
      </c>
      <c r="I972">
        <v>592</v>
      </c>
      <c r="J972">
        <v>52445.279999999999</v>
      </c>
    </row>
    <row r="973" spans="1:10" x14ac:dyDescent="0.3">
      <c r="A973">
        <v>972</v>
      </c>
      <c r="B973">
        <v>817192542</v>
      </c>
      <c r="C973" t="s">
        <v>13</v>
      </c>
      <c r="D973" t="s">
        <v>10</v>
      </c>
      <c r="E973" s="1">
        <v>42705</v>
      </c>
      <c r="F973">
        <f t="shared" si="15"/>
        <v>4</v>
      </c>
      <c r="G973" t="s">
        <v>32</v>
      </c>
      <c r="H973" t="s">
        <v>26</v>
      </c>
      <c r="I973">
        <v>4288</v>
      </c>
      <c r="J973">
        <v>270701.44</v>
      </c>
    </row>
    <row r="974" spans="1:10" x14ac:dyDescent="0.3">
      <c r="A974">
        <v>973</v>
      </c>
      <c r="B974">
        <v>936387765</v>
      </c>
      <c r="C974" t="s">
        <v>47</v>
      </c>
      <c r="D974" t="s">
        <v>10</v>
      </c>
      <c r="E974" s="1">
        <v>40909</v>
      </c>
      <c r="F974">
        <f t="shared" si="15"/>
        <v>1</v>
      </c>
      <c r="G974" t="s">
        <v>45</v>
      </c>
      <c r="H974" t="s">
        <v>12</v>
      </c>
      <c r="I974">
        <v>6803</v>
      </c>
      <c r="J974">
        <v>389131.6</v>
      </c>
    </row>
    <row r="975" spans="1:10" x14ac:dyDescent="0.3">
      <c r="A975">
        <v>974</v>
      </c>
      <c r="B975">
        <v>612573039</v>
      </c>
      <c r="C975" t="s">
        <v>30</v>
      </c>
      <c r="D975" t="s">
        <v>10</v>
      </c>
      <c r="E975" s="1">
        <v>40756</v>
      </c>
      <c r="F975">
        <f t="shared" si="15"/>
        <v>3</v>
      </c>
      <c r="G975" t="s">
        <v>52</v>
      </c>
      <c r="H975" t="s">
        <v>19</v>
      </c>
      <c r="I975">
        <v>2830</v>
      </c>
      <c r="J975">
        <v>207835.2</v>
      </c>
    </row>
    <row r="976" spans="1:10" x14ac:dyDescent="0.3">
      <c r="A976">
        <v>975</v>
      </c>
      <c r="B976">
        <v>812984693</v>
      </c>
      <c r="C976" t="s">
        <v>30</v>
      </c>
      <c r="D976" t="s">
        <v>14</v>
      </c>
      <c r="E976" s="1">
        <v>40756</v>
      </c>
      <c r="F976">
        <f t="shared" si="15"/>
        <v>3</v>
      </c>
      <c r="G976" t="s">
        <v>44</v>
      </c>
      <c r="H976" t="s">
        <v>26</v>
      </c>
      <c r="I976">
        <v>9092</v>
      </c>
      <c r="J976">
        <v>667716.48</v>
      </c>
    </row>
    <row r="977" spans="1:10" x14ac:dyDescent="0.3">
      <c r="A977">
        <v>976</v>
      </c>
      <c r="B977">
        <v>775171554</v>
      </c>
      <c r="C977" t="s">
        <v>47</v>
      </c>
      <c r="D977" t="s">
        <v>10</v>
      </c>
      <c r="E977" s="1">
        <v>41244</v>
      </c>
      <c r="F977">
        <f t="shared" si="15"/>
        <v>4</v>
      </c>
      <c r="G977" t="s">
        <v>59</v>
      </c>
      <c r="H977" t="s">
        <v>19</v>
      </c>
      <c r="I977">
        <v>9344</v>
      </c>
      <c r="J977">
        <v>534476.80000000005</v>
      </c>
    </row>
    <row r="978" spans="1:10" x14ac:dyDescent="0.3">
      <c r="A978">
        <v>977</v>
      </c>
      <c r="B978">
        <v>256994950</v>
      </c>
      <c r="C978" t="s">
        <v>36</v>
      </c>
      <c r="D978" t="s">
        <v>14</v>
      </c>
      <c r="E978" s="1">
        <v>40179</v>
      </c>
      <c r="F978">
        <f t="shared" si="15"/>
        <v>1</v>
      </c>
      <c r="G978" t="s">
        <v>33</v>
      </c>
      <c r="H978" t="s">
        <v>12</v>
      </c>
      <c r="I978">
        <v>9372</v>
      </c>
      <c r="J978">
        <v>1553221.56</v>
      </c>
    </row>
    <row r="979" spans="1:10" x14ac:dyDescent="0.3">
      <c r="A979">
        <v>978</v>
      </c>
      <c r="B979">
        <v>886628711</v>
      </c>
      <c r="C979" t="s">
        <v>41</v>
      </c>
      <c r="D979" t="s">
        <v>10</v>
      </c>
      <c r="E979" s="1">
        <v>42767</v>
      </c>
      <c r="F979">
        <f t="shared" si="15"/>
        <v>1</v>
      </c>
      <c r="G979" t="s">
        <v>57</v>
      </c>
      <c r="H979" t="s">
        <v>16</v>
      </c>
      <c r="I979">
        <v>1993</v>
      </c>
      <c r="J979">
        <v>31210.38</v>
      </c>
    </row>
    <row r="980" spans="1:10" x14ac:dyDescent="0.3">
      <c r="A980">
        <v>979</v>
      </c>
      <c r="B980">
        <v>312559163</v>
      </c>
      <c r="C980" t="s">
        <v>41</v>
      </c>
      <c r="D980" t="s">
        <v>14</v>
      </c>
      <c r="E980" s="1">
        <v>40878</v>
      </c>
      <c r="F980">
        <f t="shared" si="15"/>
        <v>4</v>
      </c>
      <c r="G980" t="s">
        <v>38</v>
      </c>
      <c r="H980" t="s">
        <v>16</v>
      </c>
      <c r="I980">
        <v>2057</v>
      </c>
      <c r="J980">
        <v>32212.62</v>
      </c>
    </row>
    <row r="981" spans="1:10" x14ac:dyDescent="0.3">
      <c r="A981">
        <v>980</v>
      </c>
      <c r="B981">
        <v>753585135</v>
      </c>
      <c r="C981" t="s">
        <v>20</v>
      </c>
      <c r="D981" t="s">
        <v>14</v>
      </c>
      <c r="E981" s="1">
        <v>41852</v>
      </c>
      <c r="F981">
        <f t="shared" si="15"/>
        <v>3</v>
      </c>
      <c r="G981" t="s">
        <v>25</v>
      </c>
      <c r="H981" t="s">
        <v>26</v>
      </c>
      <c r="I981">
        <v>1443</v>
      </c>
      <c r="J981">
        <v>127835.37</v>
      </c>
    </row>
    <row r="982" spans="1:10" x14ac:dyDescent="0.3">
      <c r="A982">
        <v>981</v>
      </c>
      <c r="B982">
        <v>448817956</v>
      </c>
      <c r="C982" t="s">
        <v>41</v>
      </c>
      <c r="D982" t="s">
        <v>10</v>
      </c>
      <c r="E982" s="1">
        <v>42461</v>
      </c>
      <c r="F982">
        <f t="shared" si="15"/>
        <v>2</v>
      </c>
      <c r="G982" t="s">
        <v>50</v>
      </c>
      <c r="H982" t="s">
        <v>16</v>
      </c>
      <c r="I982">
        <v>4062</v>
      </c>
      <c r="J982">
        <v>63610.92</v>
      </c>
    </row>
    <row r="983" spans="1:10" x14ac:dyDescent="0.3">
      <c r="A983">
        <v>982</v>
      </c>
      <c r="B983">
        <v>407681453</v>
      </c>
      <c r="C983" t="s">
        <v>30</v>
      </c>
      <c r="D983" t="s">
        <v>10</v>
      </c>
      <c r="E983" s="1">
        <v>41214</v>
      </c>
      <c r="F983">
        <f t="shared" si="15"/>
        <v>4</v>
      </c>
      <c r="G983" t="s">
        <v>51</v>
      </c>
      <c r="H983" t="s">
        <v>26</v>
      </c>
      <c r="I983">
        <v>856</v>
      </c>
      <c r="J983">
        <v>62864.639999999999</v>
      </c>
    </row>
    <row r="984" spans="1:10" x14ac:dyDescent="0.3">
      <c r="A984">
        <v>983</v>
      </c>
      <c r="B984">
        <v>359911954</v>
      </c>
      <c r="C984" t="s">
        <v>34</v>
      </c>
      <c r="D984" t="s">
        <v>14</v>
      </c>
      <c r="E984" s="1">
        <v>42491</v>
      </c>
      <c r="F984">
        <f t="shared" si="15"/>
        <v>2</v>
      </c>
      <c r="G984" t="s">
        <v>32</v>
      </c>
      <c r="H984" t="s">
        <v>26</v>
      </c>
      <c r="I984">
        <v>4800</v>
      </c>
      <c r="J984">
        <v>264672</v>
      </c>
    </row>
    <row r="985" spans="1:10" x14ac:dyDescent="0.3">
      <c r="A985">
        <v>984</v>
      </c>
      <c r="B985">
        <v>105558288</v>
      </c>
      <c r="C985" t="s">
        <v>40</v>
      </c>
      <c r="D985" t="s">
        <v>10</v>
      </c>
      <c r="E985" s="1">
        <v>41487</v>
      </c>
      <c r="F985">
        <f t="shared" si="15"/>
        <v>3</v>
      </c>
      <c r="G985" t="s">
        <v>39</v>
      </c>
      <c r="H985" t="s">
        <v>28</v>
      </c>
      <c r="I985">
        <v>5898</v>
      </c>
      <c r="J985">
        <v>744622.5</v>
      </c>
    </row>
    <row r="986" spans="1:10" x14ac:dyDescent="0.3">
      <c r="A986">
        <v>985</v>
      </c>
      <c r="B986">
        <v>864981782</v>
      </c>
      <c r="C986" t="s">
        <v>43</v>
      </c>
      <c r="D986" t="s">
        <v>10</v>
      </c>
      <c r="E986" s="1">
        <v>41974</v>
      </c>
      <c r="F986">
        <f t="shared" si="15"/>
        <v>4</v>
      </c>
      <c r="G986" t="s">
        <v>54</v>
      </c>
      <c r="H986" t="s">
        <v>16</v>
      </c>
      <c r="I986">
        <v>6186</v>
      </c>
      <c r="J986">
        <v>155021.16</v>
      </c>
    </row>
    <row r="987" spans="1:10" x14ac:dyDescent="0.3">
      <c r="A987">
        <v>986</v>
      </c>
      <c r="B987">
        <v>328856265</v>
      </c>
      <c r="C987" t="s">
        <v>40</v>
      </c>
      <c r="D987" t="s">
        <v>14</v>
      </c>
      <c r="E987" s="1">
        <v>41306</v>
      </c>
      <c r="F987">
        <f t="shared" si="15"/>
        <v>1</v>
      </c>
      <c r="G987" t="s">
        <v>15</v>
      </c>
      <c r="H987" t="s">
        <v>16</v>
      </c>
      <c r="I987">
        <v>4732</v>
      </c>
      <c r="J987">
        <v>597415</v>
      </c>
    </row>
    <row r="988" spans="1:10" x14ac:dyDescent="0.3">
      <c r="A988">
        <v>987</v>
      </c>
      <c r="B988">
        <v>308168065</v>
      </c>
      <c r="C988" t="s">
        <v>30</v>
      </c>
      <c r="D988" t="s">
        <v>10</v>
      </c>
      <c r="E988" s="1">
        <v>42614</v>
      </c>
      <c r="F988">
        <f t="shared" si="15"/>
        <v>3</v>
      </c>
      <c r="G988" t="s">
        <v>27</v>
      </c>
      <c r="H988" t="s">
        <v>28</v>
      </c>
      <c r="I988">
        <v>2633</v>
      </c>
      <c r="J988">
        <v>193367.52</v>
      </c>
    </row>
    <row r="989" spans="1:10" x14ac:dyDescent="0.3">
      <c r="A989">
        <v>988</v>
      </c>
      <c r="B989">
        <v>884216010</v>
      </c>
      <c r="C989" t="s">
        <v>36</v>
      </c>
      <c r="D989" t="s">
        <v>10</v>
      </c>
      <c r="E989" s="1">
        <v>42675</v>
      </c>
      <c r="F989">
        <f t="shared" si="15"/>
        <v>4</v>
      </c>
      <c r="G989" t="s">
        <v>51</v>
      </c>
      <c r="H989" t="s">
        <v>26</v>
      </c>
      <c r="I989">
        <v>8021</v>
      </c>
      <c r="J989">
        <v>1329320.33</v>
      </c>
    </row>
    <row r="990" spans="1:10" x14ac:dyDescent="0.3">
      <c r="A990">
        <v>989</v>
      </c>
      <c r="B990">
        <v>858611428</v>
      </c>
      <c r="C990" t="s">
        <v>34</v>
      </c>
      <c r="D990" t="s">
        <v>10</v>
      </c>
      <c r="E990" s="1">
        <v>41244</v>
      </c>
      <c r="F990">
        <f t="shared" si="15"/>
        <v>4</v>
      </c>
      <c r="G990" t="s">
        <v>25</v>
      </c>
      <c r="H990" t="s">
        <v>26</v>
      </c>
      <c r="I990">
        <v>1057</v>
      </c>
      <c r="J990">
        <v>58282.98</v>
      </c>
    </row>
    <row r="991" spans="1:10" x14ac:dyDescent="0.3">
      <c r="A991">
        <v>990</v>
      </c>
      <c r="B991">
        <v>903278148</v>
      </c>
      <c r="C991" t="s">
        <v>20</v>
      </c>
      <c r="D991" t="s">
        <v>14</v>
      </c>
      <c r="E991" s="1">
        <v>42795</v>
      </c>
      <c r="F991">
        <f t="shared" si="15"/>
        <v>1</v>
      </c>
      <c r="G991" t="s">
        <v>48</v>
      </c>
      <c r="H991" t="s">
        <v>16</v>
      </c>
      <c r="I991">
        <v>8932</v>
      </c>
      <c r="J991">
        <v>791285.88</v>
      </c>
    </row>
    <row r="992" spans="1:10" x14ac:dyDescent="0.3">
      <c r="A992">
        <v>991</v>
      </c>
      <c r="B992">
        <v>410452497</v>
      </c>
      <c r="C992" t="s">
        <v>41</v>
      </c>
      <c r="D992" t="s">
        <v>14</v>
      </c>
      <c r="E992" s="1">
        <v>40969</v>
      </c>
      <c r="F992">
        <f t="shared" si="15"/>
        <v>1</v>
      </c>
      <c r="G992" t="s">
        <v>39</v>
      </c>
      <c r="H992" t="s">
        <v>28</v>
      </c>
      <c r="I992">
        <v>870</v>
      </c>
      <c r="J992">
        <v>13624.2</v>
      </c>
    </row>
    <row r="993" spans="1:10" x14ac:dyDescent="0.3">
      <c r="A993">
        <v>992</v>
      </c>
      <c r="B993">
        <v>642683303</v>
      </c>
      <c r="C993" t="s">
        <v>20</v>
      </c>
      <c r="D993" t="s">
        <v>10</v>
      </c>
      <c r="E993" s="1">
        <v>42339</v>
      </c>
      <c r="F993">
        <f t="shared" si="15"/>
        <v>4</v>
      </c>
      <c r="G993" t="s">
        <v>54</v>
      </c>
      <c r="H993" t="s">
        <v>16</v>
      </c>
      <c r="I993">
        <v>3126</v>
      </c>
      <c r="J993">
        <v>276932.34000000003</v>
      </c>
    </row>
    <row r="994" spans="1:10" x14ac:dyDescent="0.3">
      <c r="A994">
        <v>993</v>
      </c>
      <c r="B994">
        <v>682831895</v>
      </c>
      <c r="C994" t="s">
        <v>41</v>
      </c>
      <c r="D994" t="s">
        <v>10</v>
      </c>
      <c r="E994" s="1">
        <v>42767</v>
      </c>
      <c r="F994">
        <f t="shared" si="15"/>
        <v>1</v>
      </c>
      <c r="G994" t="s">
        <v>53</v>
      </c>
      <c r="H994" t="s">
        <v>16</v>
      </c>
      <c r="I994">
        <v>3987</v>
      </c>
      <c r="J994">
        <v>62436.42</v>
      </c>
    </row>
    <row r="995" spans="1:10" x14ac:dyDescent="0.3">
      <c r="A995">
        <v>994</v>
      </c>
      <c r="B995">
        <v>584072101</v>
      </c>
      <c r="C995" t="s">
        <v>17</v>
      </c>
      <c r="D995" t="s">
        <v>14</v>
      </c>
      <c r="E995" s="1">
        <v>42675</v>
      </c>
      <c r="F995">
        <f t="shared" si="15"/>
        <v>4</v>
      </c>
      <c r="G995" t="s">
        <v>56</v>
      </c>
      <c r="H995" t="s">
        <v>19</v>
      </c>
      <c r="I995">
        <v>8769</v>
      </c>
      <c r="J995">
        <v>840596.34</v>
      </c>
    </row>
    <row r="996" spans="1:10" x14ac:dyDescent="0.3">
      <c r="A996">
        <v>995</v>
      </c>
      <c r="B996">
        <v>919890248</v>
      </c>
      <c r="C996" t="s">
        <v>47</v>
      </c>
      <c r="D996" t="s">
        <v>10</v>
      </c>
      <c r="E996" s="1">
        <v>42826</v>
      </c>
      <c r="F996">
        <f t="shared" si="15"/>
        <v>2</v>
      </c>
      <c r="G996" t="s">
        <v>46</v>
      </c>
      <c r="H996" t="s">
        <v>28</v>
      </c>
      <c r="I996">
        <v>4821</v>
      </c>
      <c r="J996">
        <v>275761.2</v>
      </c>
    </row>
    <row r="997" spans="1:10" x14ac:dyDescent="0.3">
      <c r="A997">
        <v>996</v>
      </c>
      <c r="B997">
        <v>534085166</v>
      </c>
      <c r="C997" t="s">
        <v>34</v>
      </c>
      <c r="D997" t="s">
        <v>10</v>
      </c>
      <c r="E997" s="1">
        <v>40269</v>
      </c>
      <c r="F997">
        <f t="shared" si="15"/>
        <v>2</v>
      </c>
      <c r="G997" t="s">
        <v>46</v>
      </c>
      <c r="H997" t="s">
        <v>28</v>
      </c>
      <c r="I997">
        <v>6524</v>
      </c>
      <c r="J997">
        <v>359733.36</v>
      </c>
    </row>
    <row r="998" spans="1:10" x14ac:dyDescent="0.3">
      <c r="A998">
        <v>997</v>
      </c>
      <c r="B998">
        <v>590768182</v>
      </c>
      <c r="C998" t="s">
        <v>17</v>
      </c>
      <c r="D998" t="s">
        <v>10</v>
      </c>
      <c r="E998" s="1">
        <v>40756</v>
      </c>
      <c r="F998">
        <f t="shared" si="15"/>
        <v>3</v>
      </c>
      <c r="G998" t="s">
        <v>54</v>
      </c>
      <c r="H998" t="s">
        <v>16</v>
      </c>
      <c r="I998">
        <v>288</v>
      </c>
      <c r="J998">
        <v>27607.68</v>
      </c>
    </row>
    <row r="999" spans="1:10" x14ac:dyDescent="0.3">
      <c r="A999">
        <v>998</v>
      </c>
      <c r="B999">
        <v>524363124</v>
      </c>
      <c r="C999" t="s">
        <v>13</v>
      </c>
      <c r="D999" t="s">
        <v>14</v>
      </c>
      <c r="E999" s="1">
        <v>40664</v>
      </c>
      <c r="F999">
        <f t="shared" si="15"/>
        <v>2</v>
      </c>
      <c r="G999" t="s">
        <v>51</v>
      </c>
      <c r="H999" t="s">
        <v>26</v>
      </c>
      <c r="I999">
        <v>9556</v>
      </c>
      <c r="J999">
        <v>603270.28</v>
      </c>
    </row>
    <row r="1000" spans="1:10" x14ac:dyDescent="0.3">
      <c r="A1000">
        <v>999</v>
      </c>
      <c r="B1000">
        <v>289606320</v>
      </c>
      <c r="C1000" t="s">
        <v>36</v>
      </c>
      <c r="D1000" t="s">
        <v>10</v>
      </c>
      <c r="E1000" s="1">
        <v>42370</v>
      </c>
      <c r="F1000">
        <f t="shared" si="15"/>
        <v>1</v>
      </c>
      <c r="G1000" t="s">
        <v>53</v>
      </c>
      <c r="H1000" t="s">
        <v>16</v>
      </c>
      <c r="I1000">
        <v>9801</v>
      </c>
      <c r="J1000">
        <v>1624319.73</v>
      </c>
    </row>
    <row r="1001" spans="1:10" x14ac:dyDescent="0.3">
      <c r="A1001">
        <v>1000</v>
      </c>
      <c r="B1001">
        <v>811546599</v>
      </c>
      <c r="C1001" t="s">
        <v>20</v>
      </c>
      <c r="D1001" t="s">
        <v>10</v>
      </c>
      <c r="E1001" s="1">
        <v>41730</v>
      </c>
      <c r="F1001">
        <f t="shared" si="15"/>
        <v>2</v>
      </c>
      <c r="G1001" t="s">
        <v>48</v>
      </c>
      <c r="H1001" t="s">
        <v>16</v>
      </c>
      <c r="I1001">
        <v>3528</v>
      </c>
      <c r="J1001">
        <v>312545.52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4:D21"/>
  <sheetViews>
    <sheetView workbookViewId="0">
      <selection activeCell="D21" sqref="D21"/>
    </sheetView>
  </sheetViews>
  <sheetFormatPr defaultRowHeight="14.4" x14ac:dyDescent="0.3"/>
  <cols>
    <col min="2" max="2" width="19.5546875" bestFit="1" customWidth="1"/>
    <col min="3" max="3" width="15.5546875" bestFit="1" customWidth="1"/>
    <col min="4" max="4" width="11" bestFit="1" customWidth="1"/>
    <col min="5" max="21" width="12" bestFit="1" customWidth="1"/>
    <col min="22" max="25" width="11" bestFit="1" customWidth="1"/>
    <col min="26" max="26" width="10" bestFit="1" customWidth="1"/>
    <col min="27" max="32" width="11" bestFit="1" customWidth="1"/>
    <col min="33" max="34" width="10" bestFit="1" customWidth="1"/>
    <col min="35" max="35" width="11" bestFit="1" customWidth="1"/>
    <col min="36" max="36" width="12" bestFit="1" customWidth="1"/>
    <col min="37" max="40" width="11" bestFit="1" customWidth="1"/>
    <col min="41" max="41" width="10" bestFit="1" customWidth="1"/>
    <col min="42" max="55" width="11" bestFit="1" customWidth="1"/>
    <col min="56" max="56" width="8" bestFit="1" customWidth="1"/>
    <col min="57" max="58" width="11" bestFit="1" customWidth="1"/>
    <col min="59" max="59" width="10" bestFit="1" customWidth="1"/>
    <col min="60" max="60" width="7" bestFit="1" customWidth="1"/>
    <col min="61" max="68" width="11" bestFit="1" customWidth="1"/>
    <col min="69" max="70" width="12" bestFit="1" customWidth="1"/>
    <col min="71" max="72" width="11" bestFit="1" customWidth="1"/>
    <col min="73" max="73" width="10" bestFit="1" customWidth="1"/>
    <col min="74" max="76" width="11" bestFit="1" customWidth="1"/>
    <col min="77" max="77" width="10" bestFit="1" customWidth="1"/>
    <col min="78" max="81" width="11" bestFit="1" customWidth="1"/>
    <col min="82" max="82" width="12" bestFit="1" customWidth="1"/>
    <col min="83" max="86" width="11" bestFit="1" customWidth="1"/>
    <col min="87" max="87" width="12" bestFit="1" customWidth="1"/>
    <col min="88" max="92" width="11" bestFit="1" customWidth="1"/>
    <col min="93" max="93" width="10" bestFit="1" customWidth="1"/>
    <col min="94" max="96" width="11" bestFit="1" customWidth="1"/>
    <col min="97" max="97" width="10" bestFit="1" customWidth="1"/>
    <col min="98" max="107" width="11" bestFit="1" customWidth="1"/>
    <col min="108" max="108" width="12" bestFit="1" customWidth="1"/>
    <col min="109" max="111" width="10" bestFit="1" customWidth="1"/>
    <col min="112" max="113" width="11" bestFit="1" customWidth="1"/>
    <col min="114" max="114" width="10" bestFit="1" customWidth="1"/>
    <col min="115" max="118" width="11" bestFit="1" customWidth="1"/>
    <col min="119" max="120" width="12" bestFit="1" customWidth="1"/>
    <col min="121" max="121" width="11" bestFit="1" customWidth="1"/>
    <col min="122" max="122" width="10" bestFit="1" customWidth="1"/>
    <col min="123" max="130" width="11" bestFit="1" customWidth="1"/>
    <col min="131" max="132" width="12" bestFit="1" customWidth="1"/>
    <col min="133" max="134" width="11" bestFit="1" customWidth="1"/>
    <col min="135" max="135" width="10" bestFit="1" customWidth="1"/>
    <col min="136" max="145" width="11" bestFit="1" customWidth="1"/>
    <col min="146" max="147" width="10" bestFit="1" customWidth="1"/>
    <col min="148" max="148" width="11" bestFit="1" customWidth="1"/>
    <col min="149" max="149" width="12" bestFit="1" customWidth="1"/>
    <col min="150" max="153" width="11" bestFit="1" customWidth="1"/>
    <col min="154" max="154" width="10" bestFit="1" customWidth="1"/>
    <col min="155" max="155" width="11" bestFit="1" customWidth="1"/>
    <col min="156" max="156" width="10" bestFit="1" customWidth="1"/>
    <col min="157" max="161" width="11" bestFit="1" customWidth="1"/>
    <col min="162" max="163" width="10" bestFit="1" customWidth="1"/>
    <col min="164" max="165" width="11" bestFit="1" customWidth="1"/>
    <col min="166" max="166" width="12" bestFit="1" customWidth="1"/>
    <col min="167" max="167" width="11" bestFit="1" customWidth="1"/>
    <col min="168" max="168" width="10" bestFit="1" customWidth="1"/>
    <col min="169" max="176" width="11" bestFit="1" customWidth="1"/>
    <col min="177" max="177" width="10" bestFit="1" customWidth="1"/>
    <col min="178" max="182" width="11" bestFit="1" customWidth="1"/>
    <col min="183" max="183" width="12" bestFit="1" customWidth="1"/>
    <col min="184" max="185" width="11" bestFit="1" customWidth="1"/>
    <col min="186" max="186" width="10" bestFit="1" customWidth="1"/>
    <col min="187" max="188" width="11" bestFit="1" customWidth="1"/>
    <col min="189" max="189" width="10" bestFit="1" customWidth="1"/>
    <col min="190" max="191" width="11" bestFit="1" customWidth="1"/>
    <col min="192" max="192" width="10" bestFit="1" customWidth="1"/>
    <col min="193" max="197" width="11" bestFit="1" customWidth="1"/>
    <col min="198" max="198" width="10" bestFit="1" customWidth="1"/>
    <col min="199" max="199" width="11" bestFit="1" customWidth="1"/>
    <col min="200" max="200" width="12" bestFit="1" customWidth="1"/>
    <col min="201" max="210" width="11" bestFit="1" customWidth="1"/>
    <col min="211" max="211" width="9" bestFit="1" customWidth="1"/>
    <col min="212" max="216" width="11" bestFit="1" customWidth="1"/>
    <col min="217" max="217" width="12" bestFit="1" customWidth="1"/>
    <col min="218" max="218" width="10" bestFit="1" customWidth="1"/>
    <col min="219" max="221" width="11" bestFit="1" customWidth="1"/>
    <col min="222" max="222" width="9" bestFit="1" customWidth="1"/>
    <col min="223" max="223" width="10" bestFit="1" customWidth="1"/>
    <col min="224" max="233" width="11" bestFit="1" customWidth="1"/>
    <col min="234" max="234" width="12" bestFit="1" customWidth="1"/>
    <col min="235" max="235" width="11" bestFit="1" customWidth="1"/>
    <col min="236" max="236" width="10" bestFit="1" customWidth="1"/>
    <col min="237" max="244" width="11" bestFit="1" customWidth="1"/>
    <col min="245" max="245" width="10" bestFit="1" customWidth="1"/>
    <col min="246" max="246" width="11" bestFit="1" customWidth="1"/>
    <col min="247" max="247" width="10" bestFit="1" customWidth="1"/>
    <col min="248" max="250" width="11" bestFit="1" customWidth="1"/>
    <col min="251" max="251" width="12" bestFit="1" customWidth="1"/>
    <col min="252" max="252" width="10" bestFit="1" customWidth="1"/>
    <col min="253" max="255" width="11" bestFit="1" customWidth="1"/>
    <col min="256" max="256" width="10" bestFit="1" customWidth="1"/>
    <col min="257" max="261" width="11" bestFit="1" customWidth="1"/>
    <col min="262" max="264" width="12" bestFit="1" customWidth="1"/>
  </cols>
  <sheetData>
    <row r="4" spans="2:4" x14ac:dyDescent="0.3">
      <c r="B4" s="7" t="s">
        <v>62</v>
      </c>
      <c r="C4" s="7" t="s">
        <v>64</v>
      </c>
    </row>
    <row r="5" spans="2:4" x14ac:dyDescent="0.3">
      <c r="C5" t="s">
        <v>66</v>
      </c>
      <c r="D5" t="s">
        <v>63</v>
      </c>
    </row>
    <row r="6" spans="2:4" x14ac:dyDescent="0.3">
      <c r="B6" s="7" t="s">
        <v>61</v>
      </c>
    </row>
    <row r="7" spans="2:4" x14ac:dyDescent="0.3">
      <c r="B7" s="8" t="s">
        <v>28</v>
      </c>
      <c r="C7" s="10">
        <v>301560.36</v>
      </c>
      <c r="D7" s="10">
        <v>301560.36</v>
      </c>
    </row>
    <row r="8" spans="2:4" x14ac:dyDescent="0.3">
      <c r="B8" s="9" t="s">
        <v>46</v>
      </c>
      <c r="C8" s="10">
        <v>301560.36</v>
      </c>
      <c r="D8" s="10">
        <v>301560.36</v>
      </c>
    </row>
    <row r="9" spans="2:4" x14ac:dyDescent="0.3">
      <c r="B9" s="8" t="s">
        <v>12</v>
      </c>
      <c r="C9" s="10">
        <v>552890.18999999994</v>
      </c>
      <c r="D9" s="10">
        <v>552890.18999999994</v>
      </c>
    </row>
    <row r="10" spans="2:4" x14ac:dyDescent="0.3">
      <c r="B10" s="9" t="s">
        <v>11</v>
      </c>
      <c r="C10" s="10">
        <v>552890.18999999994</v>
      </c>
      <c r="D10" s="10">
        <v>552890.18999999994</v>
      </c>
    </row>
    <row r="11" spans="2:4" x14ac:dyDescent="0.3">
      <c r="B11" s="8" t="s">
        <v>26</v>
      </c>
      <c r="C11" s="10">
        <v>775694.04</v>
      </c>
      <c r="D11" s="10">
        <v>775694.04</v>
      </c>
    </row>
    <row r="12" spans="2:4" x14ac:dyDescent="0.3">
      <c r="B12" s="9" t="s">
        <v>32</v>
      </c>
      <c r="C12" s="10">
        <v>376241.73</v>
      </c>
      <c r="D12" s="10">
        <v>376241.73</v>
      </c>
    </row>
    <row r="13" spans="2:4" x14ac:dyDescent="0.3">
      <c r="B13" s="9" t="s">
        <v>51</v>
      </c>
      <c r="C13" s="10">
        <v>121368.3</v>
      </c>
      <c r="D13" s="10">
        <v>121368.3</v>
      </c>
    </row>
    <row r="14" spans="2:4" x14ac:dyDescent="0.3">
      <c r="B14" s="9" t="s">
        <v>58</v>
      </c>
      <c r="C14" s="10">
        <v>278084.01</v>
      </c>
      <c r="D14" s="10">
        <v>278084.01</v>
      </c>
    </row>
    <row r="15" spans="2:4" x14ac:dyDescent="0.3">
      <c r="B15" s="8" t="s">
        <v>16</v>
      </c>
      <c r="C15" s="10">
        <v>528439.35</v>
      </c>
      <c r="D15" s="10">
        <v>528439.35</v>
      </c>
    </row>
    <row r="16" spans="2:4" x14ac:dyDescent="0.3">
      <c r="B16" s="9" t="s">
        <v>57</v>
      </c>
      <c r="C16" s="10">
        <v>528439.35</v>
      </c>
      <c r="D16" s="10">
        <v>528439.35</v>
      </c>
    </row>
    <row r="17" spans="2:4" x14ac:dyDescent="0.3">
      <c r="B17" s="8" t="s">
        <v>19</v>
      </c>
      <c r="C17" s="10">
        <v>1803426.63</v>
      </c>
      <c r="D17" s="10">
        <v>1803426.63</v>
      </c>
    </row>
    <row r="18" spans="2:4" x14ac:dyDescent="0.3">
      <c r="B18" s="9" t="s">
        <v>56</v>
      </c>
      <c r="C18" s="10">
        <v>735474.18</v>
      </c>
      <c r="D18" s="10">
        <v>735474.18</v>
      </c>
    </row>
    <row r="19" spans="2:4" x14ac:dyDescent="0.3">
      <c r="B19" s="9" t="s">
        <v>21</v>
      </c>
      <c r="C19" s="10">
        <v>294295.98</v>
      </c>
      <c r="D19" s="10">
        <v>294295.98</v>
      </c>
    </row>
    <row r="20" spans="2:4" x14ac:dyDescent="0.3">
      <c r="B20" s="9" t="s">
        <v>35</v>
      </c>
      <c r="C20" s="10">
        <v>773656.47</v>
      </c>
      <c r="D20" s="10">
        <v>773656.47</v>
      </c>
    </row>
    <row r="21" spans="2:4" x14ac:dyDescent="0.3">
      <c r="B21" s="8" t="s">
        <v>63</v>
      </c>
      <c r="C21" s="10">
        <v>3962010.5700000003</v>
      </c>
      <c r="D21" s="10">
        <v>3962010.5700000003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tabSelected="1" workbookViewId="0">
      <selection activeCell="O10" sqref="O10"/>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Raw_Data</vt:lpstr>
      <vt:lpstr>Pivot</vt:lpstr>
      <vt:lpstr>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Kritika Patil</dc:creator>
  <cp:lastModifiedBy>Kritika Patil</cp:lastModifiedBy>
  <dcterms:created xsi:type="dcterms:W3CDTF">2021-01-29T13:50:17Z</dcterms:created>
  <dcterms:modified xsi:type="dcterms:W3CDTF">2025-01-02T04:58:19Z</dcterms:modified>
</cp:coreProperties>
</file>